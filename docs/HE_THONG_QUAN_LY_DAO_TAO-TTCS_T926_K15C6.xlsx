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Product Overview" sheetId="1" r:id="rId5"/>
    <sheet state="visible" name="2. User Roles" sheetId="2" r:id="rId6"/>
    <sheet state="visible" name="3. Epics" sheetId="3" r:id="rId7"/>
    <sheet state="visible" name="4. Product Backlog" sheetId="4" r:id="rId8"/>
    <sheet state="visible" name="5. Sprint Plan" sheetId="5" r:id="rId9"/>
  </sheets>
  <definedNames>
    <definedName hidden="1" localSheetId="3" name="_xlnm._FilterDatabase">'4. Product Backlog'!$A$4:$J$95</definedName>
  </definedNames>
  <calcPr/>
</workbook>
</file>

<file path=xl/sharedStrings.xml><?xml version="1.0" encoding="utf-8"?>
<sst xmlns="http://schemas.openxmlformats.org/spreadsheetml/2006/main" count="940" uniqueCount="554">
  <si>
    <t>HỆ THỐNG QUẢN LÝ ĐÀO TẠO</t>
  </si>
  <si>
    <t>USER ROLES — 8 VAI TRÒ</t>
  </si>
  <si>
    <t>EPICS — 9 NHÓM CHỨC NĂNG</t>
  </si>
  <si>
    <t>Product Backlog · Dự án thực tập · Nhóm 1 · 8 tuần</t>
  </si>
  <si>
    <t>THÔNG SỐ DỰ ÁN</t>
  </si>
  <si>
    <t>PRODUCT BACKLOG — 75 USER STORY / 350 POINT / 8 SPRINT</t>
  </si>
  <si>
    <t>Mã Epic</t>
  </si>
  <si>
    <t>#</t>
  </si>
  <si>
    <t>Thông số</t>
  </si>
  <si>
    <t>Mẫu story: Là &lt;vai trò&gt;, tôi muốn &lt;hành động&gt;, để &lt;giá trị&gt;.   |   Ưu tiên MoSCoW: Must / Should / Could.   |   1 point ≈ 4 giờ công của đội 5 người.</t>
  </si>
  <si>
    <t>Tên Epic</t>
  </si>
  <si>
    <t>Mục tiêu / phạm vi</t>
  </si>
  <si>
    <t>Giá trị</t>
  </si>
  <si>
    <t>Point</t>
  </si>
  <si>
    <t>Vai trò</t>
  </si>
  <si>
    <t>% tổng</t>
  </si>
  <si>
    <t>Sprint</t>
  </si>
  <si>
    <t>Mã</t>
  </si>
  <si>
    <t>Số story</t>
  </si>
  <si>
    <t>Là ai trong doanh nghiệp</t>
  </si>
  <si>
    <t>EP-01</t>
  </si>
  <si>
    <t>Mục tiêu chính khi dùng hệ thống</t>
  </si>
  <si>
    <t>Tài khoản, Phân quyền &amp; Hồ sơ</t>
  </si>
  <si>
    <t>Ghi chú</t>
  </si>
  <si>
    <t>Đăng nhập, khôi phục mật khẩu, mô hình phân quyền theo vai trò, quản trị tài khoản và hồ sơ cá nhân, nhật ký thao tác trên dữ liệu nhạy cảm.</t>
  </si>
  <si>
    <t>Thời gian</t>
  </si>
  <si>
    <t>Khách truy cập</t>
  </si>
  <si>
    <t>8 tuần (2 tháng)</t>
  </si>
  <si>
    <t>Không có Sprint 0 riêng; công việc setup nằm trong Sprint 1</t>
  </si>
  <si>
    <t>Guest</t>
  </si>
  <si>
    <t>Số sprint</t>
  </si>
  <si>
    <t>ID</t>
  </si>
  <si>
    <t>8 sprint × 1 tuần</t>
  </si>
  <si>
    <t>Nhịp ngắn, cần chẻ nhỏ story 8 point thành API + UI</t>
  </si>
  <si>
    <t>1, 2, 6</t>
  </si>
  <si>
    <t>Velocity mục tiêu</t>
  </si>
  <si>
    <t>Người quan tâm khoá học, chưa có tài khoản</t>
  </si>
  <si>
    <t>Epic</t>
  </si>
  <si>
    <t>42 – 45 point / sprint</t>
  </si>
  <si>
    <t>EP-02</t>
  </si>
  <si>
    <t>Để lại thông tin đăng ký tư vấn</t>
  </si>
  <si>
    <t>Là mục tiêu, không phải dự báo — hiệu chỉnh lại sau Sprint 2</t>
  </si>
  <si>
    <t>Danh mục Chương trình đào tạo</t>
  </si>
  <si>
    <t>User Story</t>
  </si>
  <si>
    <t>Chương trình → môn học → buổi học. Bộ khung mà mọi lớp học, lịch và bài tập sau này đều tham chiếu tới.</t>
  </si>
  <si>
    <t>Tổng story point</t>
  </si>
  <si>
    <t>Tiêu chí chấp nhận (AC)</t>
  </si>
  <si>
    <t>350 point</t>
  </si>
  <si>
    <t>2</t>
  </si>
  <si>
    <t>42 + 43 + 42 + 45 + 45 + 45 + 44 + 44</t>
  </si>
  <si>
    <t>EP-03</t>
  </si>
  <si>
    <t>Tuyển sinh &amp; Ghi danh</t>
  </si>
  <si>
    <t>Số user story</t>
  </si>
  <si>
    <t>Ưu tiên</t>
  </si>
  <si>
    <t>Từ lead để lại thông tin, qua phễu chăm sóc, đến hồ sơ học viên chính thức được xếp vào lớp.</t>
  </si>
  <si>
    <t>75 story</t>
  </si>
  <si>
    <t>Học viên</t>
  </si>
  <si>
    <t>Trạng thái</t>
  </si>
  <si>
    <t>2–3</t>
  </si>
  <si>
    <t>Trung bình 9.4 story / sprint</t>
  </si>
  <si>
    <t>Student</t>
  </si>
  <si>
    <t>Ghi chú / Người thực hiện</t>
  </si>
  <si>
    <t>Người đang theo học một lớp</t>
  </si>
  <si>
    <t>EP-04</t>
  </si>
  <si>
    <t>Số epic</t>
  </si>
  <si>
    <t>Lớp học &amp; Thời khoá biểu</t>
  </si>
  <si>
    <t>Xem lịch học, nhận bài tập, nộp bài, xem điểm và công nợ học phí của mình</t>
  </si>
  <si>
    <t>9 epic</t>
  </si>
  <si>
    <t>Phân công giảng viên, sinh lịch theo mẫu lặp, phát hiện trùng lịch, dời buổi, xử lý bảo lưu và chuyển lớp.</t>
  </si>
  <si>
    <t>Đội ngũ</t>
  </si>
  <si>
    <t>3–4</t>
  </si>
  <si>
    <t>Giảng viên</t>
  </si>
  <si>
    <t>SPRINT 1 — Tài khoản, phân quyền và quản trị người dùng   ·   10 story · 42 point</t>
  </si>
  <si>
    <t>5 người fullstack, full-time</t>
  </si>
  <si>
    <t>Instructor</t>
  </si>
  <si>
    <t>EP-05</t>
  </si>
  <si>
    <t>40 giờ/tuần/người</t>
  </si>
  <si>
    <t>Điểm danh &amp; Chuyên cần</t>
  </si>
  <si>
    <t>Người đứng lớp, phụ trách chuyên môn</t>
  </si>
  <si>
    <t>Điểm danh nhanh trên điện thoại, xin phép vắng, thống kê chuyên cần và cảnh báo vượt ngưỡng.</t>
  </si>
  <si>
    <t>Điểm danh, giao bài, chấm điểm, theo dõi tiến độ lớp mình dạy</t>
  </si>
  <si>
    <t>Quy đổi point</t>
  </si>
  <si>
    <t>4–5</t>
  </si>
  <si>
    <t>1 point ≈ 4 giờ công</t>
  </si>
  <si>
    <t>EP-06</t>
  </si>
  <si>
    <t>~170 giờ hữu ích/tuần sau khi trừ họp và code review</t>
  </si>
  <si>
    <t>Bài tập &amp; Chấm điểm</t>
  </si>
  <si>
    <t>Epic nặng nhất. Giao bài, nộp bài nhiều phiên bản, chấm theo rubric, yêu cầu làm lại, phản hồi cho học viên.</t>
  </si>
  <si>
    <t>Trợ giảng</t>
  </si>
  <si>
    <t>TA</t>
  </si>
  <si>
    <t>5–6</t>
  </si>
  <si>
    <t>Hỗ trợ giảng viên, kèm học viên yếu</t>
  </si>
  <si>
    <t>Điểm danh và chấm bài trong phạm vi giảng viên uỷ quyền; không sửa được điểm tổng kết</t>
  </si>
  <si>
    <t>EP-07</t>
  </si>
  <si>
    <t>VẤN ĐỀ NGHIỆP VỤ</t>
  </si>
  <si>
    <t>Kết quả học tập &amp; Tốt nghiệp</t>
  </si>
  <si>
    <t>Trọng số điểm, tính điểm tổng kết môn, bảng điểm toàn khoá và xét điều kiện hoàn thành.</t>
  </si>
  <si>
    <t>Quản lý đào tạo</t>
  </si>
  <si>
    <t>Trung tâm đang vận hành đào tạo trên một tập công cụ rời rạc: danh sách học viên nằm trên Google Sheets, thời khoá biểu trên Google Calendar, bài tập nộp qua Zalo và GitHub, điểm số do từng giảng viên tự giữ, học phí ghi tay ở kế toán.</t>
  </si>
  <si>
    <t>Training Manager</t>
  </si>
  <si>
    <t>8</t>
  </si>
  <si>
    <t>Chủ sở hữu vận hành đào tạo</t>
  </si>
  <si>
    <t>Mở lớp, xếp lịch, phân công giảng viên, duyệt bảo lưu, giám sát chất lượng toàn khoá</t>
  </si>
  <si>
    <t>EP-08</t>
  </si>
  <si>
    <t>Học phí &amp; Công nợ</t>
  </si>
  <si>
    <t>Biểu phí, kế hoạch thanh toán theo đợt, ghi nhận thu và biên lai, học bổng, nhắc hạn, báo cáo doanh thu.</t>
  </si>
  <si>
    <t>Hệ quả trực tiếp</t>
  </si>
  <si>
    <t>Tư vấn tuyển sinh</t>
  </si>
  <si>
    <t>Admissions</t>
  </si>
  <si>
    <t>7</t>
  </si>
  <si>
    <t>Nhân sự bán hàng đầu phễu</t>
  </si>
  <si>
    <t>Quản lý lead, chăm sóc, chuyển đổi thành học viên nhập học</t>
  </si>
  <si>
    <t>EP-09</t>
  </si>
  <si>
    <t>Học liệu, Thông báo, Khảo sát &amp; Báo cáo</t>
  </si>
  <si>
    <t>Tài liệu theo buổi học, trung tâm thông báo, nhắc lịch qua email, khảo sát cuối khoá và dashboard theo vai trò.</t>
  </si>
  <si>
    <t>Không ai trả lời nhanh được câu hỏi 'lớp này đang thế nào'. Muốn biết tỷ lệ chuyên cần hay số học viên nợ bài, phải đi hỏi ba người.</t>
  </si>
  <si>
    <t>Kế toán</t>
  </si>
  <si>
    <t>Accountant</t>
  </si>
  <si>
    <t>6, 8</t>
  </si>
  <si>
    <t>Sprint Goal: Quản trị viên tạo được tài khoản cho toàn bộ nhân sự và học viên, mỗi vai trò đăng nhập vào chỉ nhìn thấy đúng phần menu thuộc quyền của mình.</t>
  </si>
  <si>
    <t>Phụ trách thu học phí</t>
  </si>
  <si>
    <t>Ghi nhận thanh toán, theo dõi công nợ, xuất báo cáo doanh thu</t>
  </si>
  <si>
    <t>TỔNG</t>
  </si>
  <si>
    <t>Quản trị hệ thống</t>
  </si>
  <si>
    <t>Admin</t>
  </si>
  <si>
    <t>Người vận hành ứng dụng</t>
  </si>
  <si>
    <t>Quản lý tài khoản, vai trò, danh mục dùng chung, xem nhật ký hệ thống</t>
  </si>
  <si>
    <t>S1-01</t>
  </si>
  <si>
    <t>Học viên bỏ học được phát hiện quá muộn. Dấu hiệu — vắng liên tiếp, không nộp bài, chậm học phí — nằm ở ba nơi khác nhau, không ai ghép lại.</t>
  </si>
  <si>
    <t>MA TRẬN PHÂN QUYỀN THEO MODULE</t>
  </si>
  <si>
    <t>Công nợ học phí sai lệch. Kế toán và tư vấn tuyển sinh không dùng chung một nguồn dữ liệu về đợt đóng tiền.</t>
  </si>
  <si>
    <t>F = toàn quyền  |  W = ghi trong phạm vi được giao  |  R = chỉ xem  |  – = không truy cập  |  * Chỉ trên dữ liệu của chính mình hoặc của lớp mình phụ trách. Đây là ràng buộc bắt buộc kiểm ở tầng server, không phải quy ước giao diện. Admin có toàn quyền trên mọi module.</t>
  </si>
  <si>
    <t>Dữ liệu khoá cũ gần như mất. Khi cần cấp lại bảng điểm cho học viên đã tốt nghiệp, phải dò lại file.</t>
  </si>
  <si>
    <t>Module</t>
  </si>
  <si>
    <t>Không đo được chất lượng giảng dạy. Khảo sát cuối khoá làm bằng Google Form, kết quả không gắn được với lớp và giảng viên cụ thể.</t>
  </si>
  <si>
    <t>người dùng của hệ thống</t>
  </si>
  <si>
    <t>TẦM NHÌN SẢN PHẨM</t>
  </si>
  <si>
    <t>Là người dùng của hệ thống, tôi muốn đăng nhập bằng email và mật khẩu, để truy cập được phần việc của mình mà không ai khác xem trộm được dữ liệu lớp học.</t>
  </si>
  <si>
    <t>• Đăng nhập đúng thì vào được trang chủ tương ứng với vai trò
• Sai thông tin hiển thị 'Email hoặc mật khẩu không đúng', không tiết lộ email có tồn tại hay không
• Khoá tạm 15 phút sau 5 lần sai liên tiếp</t>
  </si>
  <si>
    <t>CHO đội vận hành đào tạo của trung tâm — quản lý đào tạo, giảng viên, tư vấn tuyển sinh và kế toán — những người đang phải ghép tay dữ liệu từ nhiều công cụ,
TMS LÀ một hệ thống quản lý đào tạo nội bộ trên nền web
GIÚP theo dõi trọn vòng đời học viên trên một nguồn dữ liệu duy nhất, từ lead đến tốt nghiệp,
KHÁC VỚI việc dùng Sheets + Zalo + sổ tay ở chỗ mọi vai trò nhìn cùng một sự thật theo thời gian thực, và hệ thống chủ động cảnh báo rủi ro thay vì chờ người phát hiện.</t>
  </si>
  <si>
    <t>Training Mgr</t>
  </si>
  <si>
    <t>Must</t>
  </si>
  <si>
    <t>Chương trình &amp; môn học</t>
  </si>
  <si>
    <t>MỤC TIÊU &amp; THƯỚC ĐO SAU 8 TUẦN</t>
  </si>
  <si>
    <t>Mục tiêu</t>
  </si>
  <si>
    <t>R</t>
  </si>
  <si>
    <t>Thước đo thành công</t>
  </si>
  <si>
    <t>Đo bằng</t>
  </si>
  <si>
    <t>Vận hành trọn một lớp thật trên hệ thống</t>
  </si>
  <si>
    <t>–</t>
  </si>
  <si>
    <t>1 lớp pilot chạy đủ chu trình: ghi danh → xếp lịch → điểm danh → nộp và chấm bài → bảng điểm</t>
  </si>
  <si>
    <t>F</t>
  </si>
  <si>
    <t>Demo nghiệm thu cuối Sprint 8</t>
  </si>
  <si>
    <t>Tuyển sinh &amp; lead</t>
  </si>
  <si>
    <t>Xoá thao tác thủ công của giảng viên</t>
  </si>
  <si>
    <t>Điểm danh một buổi ≤ 60 giây; chấm một bài tập ≤ 3 phút</t>
  </si>
  <si>
    <t>Chưa bắt đầu</t>
  </si>
  <si>
    <t>Bấm giờ trên môi trường staging</t>
  </si>
  <si>
    <t>S1-02</t>
  </si>
  <si>
    <t>Công nợ học phí minh bạch</t>
  </si>
  <si>
    <t>Bảng công nợ theo lớp khớp 100% với sổ kế toán của lớp pilot</t>
  </si>
  <si>
    <t>Là người dùng của hệ thống, tôi muốn duy trì phiên đăng nhập và đăng xuất an toàn, để không bị đăng xuất giữa chừng khi đang điểm danh, và yên tâm khi dùng máy chung.</t>
  </si>
  <si>
    <t>Hồ sơ học viên</t>
  </si>
  <si>
    <t>Đối soát thủ công</t>
  </si>
  <si>
    <t>• Phiên được gia hạn tự động khi còn hoạt động
• Đăng xuất làm mất hiệu lực phiên ngay lập tức phía server
• Phiên hết hạn đưa về trang đăng nhập kèm thông báo rõ ràng, không mất dữ liệu đang nhập dở</t>
  </si>
  <si>
    <t>Phát hiện sớm học viên rủi ro</t>
  </si>
  <si>
    <t>Hệ thống tự gắn cờ khi vắng vượt ngưỡng hoặc nợ bài</t>
  </si>
  <si>
    <t>W*</t>
  </si>
  <si>
    <t>Kiểm thử nghiệp vụ</t>
  </si>
  <si>
    <t>S1-03</t>
  </si>
  <si>
    <t>Đo được chất lượng giảng dạy</t>
  </si>
  <si>
    <t>Khảo sát cuối khoá đạt tỷ lệ trả lời ≥ 70% và kết quả quy được về từng giảng viên</t>
  </si>
  <si>
    <t>W</t>
  </si>
  <si>
    <t>Là người dùng của hệ thống, tôi muốn đặt lại mật khẩu khi quên thông qua email, để tự lấy lại được quyền truy cập mà không phải nhờ quản trị viên.</t>
  </si>
  <si>
    <t>Chạy thật trên lớp pilot</t>
  </si>
  <si>
    <t>Lớp học &amp; thời khoá biểu</t>
  </si>
  <si>
    <t>• Nhập email nhận được liên kết đặt lại có hiệu lực 30 phút
• Liên kết chỉ dùng được một lần
• Email không tồn tại vẫn hiển thị cùng một thông báo, không dò được ai có tài khoản</t>
  </si>
  <si>
    <t>R*</t>
  </si>
  <si>
    <t>PHẠM VI</t>
  </si>
  <si>
    <t>S1-04</t>
  </si>
  <si>
    <t>TRONG PHẠM VI (In-scope)</t>
  </si>
  <si>
    <t>Điểm danh</t>
  </si>
  <si>
    <t>NGOÀI PHẠM VI (Out-of-scope)</t>
  </si>
  <si>
    <t>Là người dùng của hệ thống, tôi muốn đổi mật khẩu khi đang đăng nhập, để chủ động bảo vệ tài khoản sau khi được cấp mật khẩu tạm.</t>
  </si>
  <si>
    <t>• Bắt buộc nhập mật khẩu hiện tại
• Mật khẩu mới tối thiểu 8 ký tự, có chữ và số
• Đổi xong thu hồi các phiên đăng nhập khác</t>
  </si>
  <si>
    <t>• Đăng nhập, phân quyền theo vai trò, quản trị tài khoản và hồ sơ</t>
  </si>
  <si>
    <t>Học liệu &amp; thông báo lớp</t>
  </si>
  <si>
    <t>S1-05</t>
  </si>
  <si>
    <t>• Ứng dụng di động native (web responsive là đủ)</t>
  </si>
  <si>
    <t>Là Quản trị hệ thống, tôi muốn phân quyền theo vai trò cho toàn hệ thống, để đảm bảo giảng viên không sửa được học phí và kế toán không sửa được điểm.</t>
  </si>
  <si>
    <t>• Khai báo được quyền cho từng vai trò trong tám vai trò nghiệp vụ
• Mọi chức năng đều kiểm quyền ở tầng server, mặc định là từ chối
• Truy cập thiếu quyền hiển thị thông báo tiếng Việt rõ ràng thay vì lỗi kỹ thuật
• Có kiểm thử tự động cho ít nhất ba vai trò</t>
  </si>
  <si>
    <t>Bài tập &amp; chấm điểm</t>
  </si>
  <si>
    <t>• Danh mục chương trình đào tạo — môn học — buổi học</t>
  </si>
  <si>
    <t>S1-06</t>
  </si>
  <si>
    <t>• Cổng thanh toán trực tuyến — chỉ ghi nhận thủ công khoản đã thu</t>
  </si>
  <si>
    <t>Điểm tổng kết &amp; tốt nghiệp</t>
  </si>
  <si>
    <t>Là người dùng của hệ thống, tôi muốn thấy menu điều hướng đúng theo quyền của mình, để không bị rối bởi những chức năng mình không được dùng.</t>
  </si>
  <si>
    <t>• Tuyển sinh: lead, phễu tư vấn, chuyển đổi thành học viên</t>
  </si>
  <si>
    <t>• Mục menu không thuộc quyền thì không hiển thị
• Hiển thị tên và vai trò người đang đăng nhập
• Dùng được thuận tiện trên màn hình 360px</t>
  </si>
  <si>
    <t>Học phí &amp; công nợ</t>
  </si>
  <si>
    <t>• Học trực tuyến: phát video, chấm code tự động, thi trắc nghiệm online</t>
  </si>
  <si>
    <t>S1-07</t>
  </si>
  <si>
    <t>• Ghi danh, xếp lớp, bảo lưu, chuyển lớp, thôi học</t>
  </si>
  <si>
    <t>Là người dùng của hệ thống, tôi muốn nhận thông báo rõ ràng khi truy cập nhầm chỗ hoặc không đủ quyền, để biết mình nên làm gì tiếp thay vì gặp một trang trắng.</t>
  </si>
  <si>
    <t>• Chat thời gian thực giữa học viên và giảng viên</t>
  </si>
  <si>
    <t>• Trang báo lỗi dùng chung giao diện ứng dụng
• Mỗi trang lỗi có một hành động gợi ý để quay lại luồng làm việc</t>
  </si>
  <si>
    <t>Khảo sát chất lượng</t>
  </si>
  <si>
    <t>• Thời khoá biểu, phân công giảng viên, phát hiện trùng lịch</t>
  </si>
  <si>
    <t>Should</t>
  </si>
  <si>
    <t>• Tích hợp SSO doanh nghiệp, LDAP</t>
  </si>
  <si>
    <t>Báo cáo &amp; dashboard</t>
  </si>
  <si>
    <t>• Điểm danh và thống kê chuyên cần</t>
  </si>
  <si>
    <t>S1-08</t>
  </si>
  <si>
    <t>• Tích hợp phần mềm kế toán, xuất hoá đơn điện tử</t>
  </si>
  <si>
    <t>Là Quản trị hệ thống, tôi muốn tạo, sửa và tìm kiếm tài khoản người dùng, để cấp quyền truy cập cho nhân sự mới trong ngày đầu họ đi làm.</t>
  </si>
  <si>
    <t>• Tạo tài khoản gửi email kích hoạt kèm mật khẩu tạm
• Email trùng bị từ chối kèm thông báo cụ thể
• Tìm theo tên, email, số điện thoại; lọc theo vai trò và trạng thái
• Danh sách phân trang, mặc định 20 dòng</t>
  </si>
  <si>
    <t>Người dùng &amp; nhật ký</t>
  </si>
  <si>
    <t>• Tài liệu học liệu theo buổi học</t>
  </si>
  <si>
    <t>S1-09</t>
  </si>
  <si>
    <t>• Đa ngôn ngữ, đa chi nhánh / multi-tenant</t>
  </si>
  <si>
    <t>Là Quản trị hệ thống, tôi muốn gán và thu hồi vai trò cho một người dùng, để xử lý được trường hợp một người vừa là giảng viên vừa là quản lý đào tạo.</t>
  </si>
  <si>
    <t>• Một người dùng có thể giữ nhiều vai trò cùng lúc
• Thay đổi vai trò có hiệu lực ngay ở thao tác kế tiếp, không cần đăng nhập lại
• Không thể tự thu hồi vai trò quản trị của chính mình</t>
  </si>
  <si>
    <t>• Giao bài, nộp bài, chấm điểm theo rubric, yêu cầu làm lại</t>
  </si>
  <si>
    <t>S1-10</t>
  </si>
  <si>
    <t>• Ứng dụng cho phụ huynh</t>
  </si>
  <si>
    <t>Là Quản trị hệ thống, tôi muốn khoá và mở khoá tài khoản, để chặn ngay quyền truy cập khi một nhân sự nghỉ việc.</t>
  </si>
  <si>
    <t>• Tính điểm tổng kết, bảng điểm, xét hoàn thành khoá</t>
  </si>
  <si>
    <t>• Tài khoản bị khoá không đăng nhập được và bị thu hồi phiên đang mở
• Bắt buộc ghi lý do khoá
• Lớp học do người đó phụ trách được cảnh báo cần bàn giao</t>
  </si>
  <si>
    <t>• Biểu phí, kế hoạch thanh toán theo đợt, ghi nhận thu, công nợ</t>
  </si>
  <si>
    <t>SPRINT 2 — Hồ sơ cá nhân, chương trình đào tạo và đầu phễu tuyển sinh   ·   11 story · 43 point</t>
  </si>
  <si>
    <t>• Thông báo trong ứng dụng và nhắc lịch qua email</t>
  </si>
  <si>
    <t>Sprint Goal: Quản lý đào tạo khai báo được một chương trình hoàn chỉnh gồm các môn và buổi học, đồng thời trang đăng ký tư vấn bắt đầu mang lead về cho đội tuyển sinh.</t>
  </si>
  <si>
    <t>• Khảo sát chất lượng cuối khoá</t>
  </si>
  <si>
    <t>S2-01</t>
  </si>
  <si>
    <t>• Dashboard và báo cáo vận hành cơ bản</t>
  </si>
  <si>
    <t>Là Quản trị hệ thống, tôi muốn nhập danh sách người dùng hàng loạt từ tệp Excel, để tạo tài khoản cho cả một khoá học viên mới trong vài phút thay vì gõ tay từng người.</t>
  </si>
  <si>
    <t>• Tải được tệp mẫu
• Xem trước và báo lỗi theo từng dòng trước khi nhập
• Dòng lỗi bị bỏ qua, dòng hợp lệ vẫn được nhập, có báo cáo tổng kết</t>
  </si>
  <si>
    <t>S2-02</t>
  </si>
  <si>
    <t>NỀN TẢNG KỸ THUẬT</t>
  </si>
  <si>
    <t>Tầng</t>
  </si>
  <si>
    <t>Là người dùng của hệ thống, tôi muốn xem và cập nhật hồ sơ cá nhân, để thông tin liên lạc của tôi luôn đúng để trung tâm gọi được khi cần.</t>
  </si>
  <si>
    <t>Lựa chọn</t>
  </si>
  <si>
    <t>Lý do chọn cho đội thực tập</t>
  </si>
  <si>
    <t>• Sửa được họ tên, số điện thoại, ngày sinh, địa chỉ
• Không tự đổi được email và vai trò
• Kiểm tra định dạng số điện thoại Việt Nam</t>
  </si>
  <si>
    <t>Frontend</t>
  </si>
  <si>
    <t>React + TypeScript</t>
  </si>
  <si>
    <t>S2-03</t>
  </si>
  <si>
    <t>Hệ sinh thái tài liệu tiếng Việt dồi dào, dễ tìm mentor review</t>
  </si>
  <si>
    <t>Là người dùng của hệ thống, tôi muốn tải lên ảnh đại diện, để giảng viên nhận ra mặt học viên khi điểm danh lớp đông.</t>
  </si>
  <si>
    <t>• Chấp nhận JPG/PNG tối đa 2MB
• Ảnh được cắt vuông và tạo bản thu nhỏ</t>
  </si>
  <si>
    <t>Backend</t>
  </si>
  <si>
    <t>Spring Boot (Java) hoặc NestJS</t>
  </si>
  <si>
    <t>Chọn theo stack mentor mạnh nhất — chốt trước Sprint 1, không đổi giữa chừng</t>
  </si>
  <si>
    <t>Could</t>
  </si>
  <si>
    <t>Cơ sở dữ liệu</t>
  </si>
  <si>
    <t>PostgreSQL</t>
  </si>
  <si>
    <t>Ràng buộc toàn vẹn mạnh, quan trọng với dữ liệu điểm và học phí</t>
  </si>
  <si>
    <t>S2-04</t>
  </si>
  <si>
    <t>Xác thực</t>
  </si>
  <si>
    <t>JWT access + refresh token</t>
  </si>
  <si>
    <t>Là Quản lý đào tạo, tôi muốn quản lý danh mục chương trình đào tạo, để mở lớp mới chỉ bằng cách chọn chương trình có sẵn thay vì khai báo lại từ đầu.</t>
  </si>
  <si>
    <t>Đủ dùng, không kéo theo phụ thuộc hạ tầng ngoài</t>
  </si>
  <si>
    <t>• Khai báo mã, tên, mô tả, tổng thời lượng, học phí chuẩn, trạng thái
• Mã chương trình là duy nhất
• Chương trình đang có lớp chạy không được xoá, chỉ được ngừng áp dụng</t>
  </si>
  <si>
    <t>Lưu trữ tệp</t>
  </si>
  <si>
    <t>Dịch vụ lưu trữ đối tượng</t>
  </si>
  <si>
    <t>S2-05</t>
  </si>
  <si>
    <t>Bài nộp và học liệu; trừu tượng hoá qua interface để đổi nhà cung cấp sau</t>
  </si>
  <si>
    <t>Gửi email</t>
  </si>
  <si>
    <t>SMTP + hàng đợi</t>
  </si>
  <si>
    <t>Là Quản lý đào tạo, tôi muốn quản lý danh mục môn học, để dùng lại một môn cho nhiều chương trình mà không phải khai báo trùng lặp.</t>
  </si>
  <si>
    <t>Nhắc lịch học và nhắc học phí phải gửi bất đồng bộ, gửi lại được</t>
  </si>
  <si>
    <t>• Khai báo mã, tên, số buổi, trọng số, mô tả chuẩn đầu ra
• Một môn học dùng lại được ở nhiều chương trình
• Môn đã có lớp học thì không xoá được</t>
  </si>
  <si>
    <t>YÊU CẦU PHI CHỨC NĂNG</t>
  </si>
  <si>
    <t>S2-06</t>
  </si>
  <si>
    <t>Nhóm</t>
  </si>
  <si>
    <t>Yêu cầu</t>
  </si>
  <si>
    <t>Là Quản lý đào tạo, tôi muốn gắn môn học vào chương trình và sắp thứ tự học, để học viên học đúng lộ trình, không học môn nâng cao trước môn nền tảng.</t>
  </si>
  <si>
    <t>Hiệu năng</t>
  </si>
  <si>
    <t>Trang danh sách trả kết quả &lt; 1,5 giây với 2.000 học viên và 50 lớp</t>
  </si>
  <si>
    <t>• Thêm và gỡ môn học khỏi chương trình
• Kéo thả để đổi thứ tự, thứ tự được lưu lại
• Khai báo được môn tiên quyết</t>
  </si>
  <si>
    <t>Quy mô</t>
  </si>
  <si>
    <t>300 người dùng, tối đa 50 phiên đồng thời vào giờ cao điểm buổi tối</t>
  </si>
  <si>
    <t>S2-07</t>
  </si>
  <si>
    <t>Bảo mật</t>
  </si>
  <si>
    <t>Là Quản lý đào tạo, tôi muốn khai báo các buổi học trong một môn, để giảng viên biết buổi nào dạy chủ đề gì mà không cần hỏi lại.</t>
  </si>
  <si>
    <t>Mật khẩu băm bcrypt; mọi endpoint kiểm tra quyền ở tầng server, không chỉ ẩn nút ở giao diện; ghi nhật ký mọi thao tác trên điểm và học phí</t>
  </si>
  <si>
    <t>• Mỗi buổi có số thứ tự, chủ đề, mục tiêu
• Số buổi khai báo không vượt quá số buổi của môn học
• Nhân bản được danh sách buổi từ một môn khác</t>
  </si>
  <si>
    <t>Giao diện</t>
  </si>
  <si>
    <t>Responsive từ 360px — giảng viên điểm danh chủ yếu trên điện thoại</t>
  </si>
  <si>
    <t>S2-08</t>
  </si>
  <si>
    <t>Ngôn ngữ</t>
  </si>
  <si>
    <t>Toàn bộ tiếng Việt, múi giờ Asia/Ho_Chi_Minh, tiền tệ VND</t>
  </si>
  <si>
    <t>Là Khách truy cập, tôi muốn gửi thông tin đăng ký tư vấn qua biểu mẫu công khai, để được trung tâm gọi lại tư vấn mà không phải tự tìm số điện thoại.</t>
  </si>
  <si>
    <t>• Biểu mẫu không yêu cầu đăng nhập, có chống spam
• Gửi thành công tạo một lead ở trạng thái Mới
• Hiển thị lời cảm ơn và cam kết thời gian liên hệ lại</t>
  </si>
  <si>
    <t>Sao lưu</t>
  </si>
  <si>
    <t>Sao lưu cơ sở dữ liệu hằng ngày, giữ 7 bản gần nhất</t>
  </si>
  <si>
    <t>GIẢ ĐỊNH CẦN PO XÁC NHẬN</t>
  </si>
  <si>
    <t>S2-09</t>
  </si>
  <si>
    <t>Giả định</t>
  </si>
  <si>
    <t>Là Tư vấn tuyển sinh, tôi muốn quản lý danh sách khách hàng tiềm năng, để không bỏ sót người đã để lại số điện thoại.</t>
  </si>
  <si>
    <t>Ảnh hưởng nếu sai</t>
  </si>
  <si>
    <t>• Tạo và sửa lead với họ tên, số điện thoại, email, nguồn, chương trình quan tâm
• Cảnh báo khi số điện thoại trùng với lead đã có
• Chỉ Quản lý đào tạo được xoá lead</t>
  </si>
  <si>
    <t>Không tích hợp cổng thanh toán</t>
  </si>
  <si>
    <t>S2-10</t>
  </si>
  <si>
    <t>Nếu trung tâm muốn học viên chuyển khoản và hệ thống tự đối soát, cần thêm khoảng 20–25 point và phải cắt bớt chỗ khác</t>
  </si>
  <si>
    <t>Học phí chia theo đợt cố định</t>
  </si>
  <si>
    <t>Là Quản lý đào tạo, tôi muốn phân công lead cho tư vấn viên, để mỗi khách hàng tiềm năng đều có một người chịu trách nhiệm gọi lại.</t>
  </si>
  <si>
    <t>• Phân công một hoặc nhiều lead cùng lúc
• Tư vấn viên chỉ nhìn thấy lead được giao cho mình
• Có ghi lịch sử chuyển giao</t>
  </si>
  <si>
    <t>Nếu thực tế có trả góp qua đối tác tài chính hoặc chính sách hoàn phí khi thôi học, quy tắc sẽ phức tạp hơn đáng kể</t>
  </si>
  <si>
    <t>Một chi nhánh duy nhất</t>
  </si>
  <si>
    <t>S2-11</t>
  </si>
  <si>
    <t>Nếu cần nhiều cơ sở với dữ liệu tách biệt, phải đưa ràng buộc chi nhánh vào lược đồ dữ liệu ngay từ Sprint 1, không thể thêm sau</t>
  </si>
  <si>
    <t>Là Tư vấn tuyển sinh, tôi muốn tìm kiếm và lọc lead theo nhiều điều kiện, để tìm lại được cuộc trao đổi từ tháng trước khi khách gọi lại.</t>
  </si>
  <si>
    <t>Điểm tổng kết tính theo trọng số các thành phần điểm</t>
  </si>
  <si>
    <t>• Lọc theo trạng thái, nguồn, người phụ trách, khoảng thời gian
• Tìm nhanh theo tên hoặc số điện thoại</t>
  </si>
  <si>
    <t>Nếu trung tâm dùng thang đánh giá năng lực đạt hoặc chưa đạt theo chuẩn đầu ra thì EP-07 phải thiết kế lại</t>
  </si>
  <si>
    <t>Chấm bài thủ công</t>
  </si>
  <si>
    <t>SPRINT 3 — Phễu tư vấn, nhập học và mở lớp   ·   9 story · 42 point</t>
  </si>
  <si>
    <t>Không có chấm code tự động, không tích hợp hệ thống tích hợp liên tục của học viên</t>
  </si>
  <si>
    <t>Trợ giảng là một vai trò riêng</t>
  </si>
  <si>
    <t>Nếu trung tâm không có vị trí này, gộp vào Giảng viên sẽ tiết kiệm khoảng 3–5 point</t>
  </si>
  <si>
    <t>Sprint Goal: Một khách hàng tiềm năng được chăm sóc trên bảng phễu, chuyển đổi thành học viên chính thức, và được ghi danh vào một lớp đã có giảng viên phụ trách.</t>
  </si>
  <si>
    <t>S3-01</t>
  </si>
  <si>
    <t>Là Tư vấn tuyển sinh, tôi muốn theo dõi lead trên bảng phễu theo trạng thái, để nhìn một màn hình là biết hôm nay cần gọi ai trước.</t>
  </si>
  <si>
    <t>• Các cột: Mới → Đã liên hệ → Đang tư vấn → Hẹn học thử → Chốt → Từ chối
• Kéo thả để đổi trạng thái, mỗi lần đổi được ghi nhật ký
• Chuyển sang Từ chối bắt buộc chọn lý do
• Mỗi cột hiển thị số lượng lead</t>
  </si>
  <si>
    <t>KẾ HOẠCH SPRINT TỔNG THỂ</t>
  </si>
  <si>
    <t>S3-02</t>
  </si>
  <si>
    <t>Là Tư vấn tuyển sinh, tôi muốn ghi nhật ký chăm sóc và đặt lịch nhắc gọi lại, để không quên lời hứa gọi lại cho khách vào tuần sau.</t>
  </si>
  <si>
    <t>• Mỗi lần tương tác ghi loại (gọi, nhắn, gặp), nội dung, thời điểm
• Đặt được ngày nhắc gọi lại
• Lead quá hạn gọi lại được đánh dấu nổi bật</t>
  </si>
  <si>
    <t>S3-03</t>
  </si>
  <si>
    <t>Chủ đề</t>
  </si>
  <si>
    <t>Kết quả demo được ở cuối sprint</t>
  </si>
  <si>
    <t>Story</t>
  </si>
  <si>
    <t>Luỹ kế</t>
  </si>
  <si>
    <t>Còn lại</t>
  </si>
  <si>
    <t>Là Tư vấn tuyển sinh, tôi muốn chuyển một lead đã chốt thành hồ sơ học viên, để không phải nhập lại thông tin khách đã cung cấp ba lần trước đó.</t>
  </si>
  <si>
    <t>• Dữ liệu lead được chuyển sang hồ sơ học viên, không phải nhập lại
• Hệ thống sinh mã học viên tự động
• Tài khoản đăng nhập cho học viên được tạo và gửi email
• Lead chuyển sang trạng thái Đã nhập học và không sửa được nữa</t>
  </si>
  <si>
    <t>Tài khoản &amp; phân quyền</t>
  </si>
  <si>
    <t>Tám vai trò đăng nhập được và chỉ thấy đúng phần việc của mình</t>
  </si>
  <si>
    <t>S3-04</t>
  </si>
  <si>
    <t>Danh mục đào tạo &amp; đầu phễu</t>
  </si>
  <si>
    <t>Là Quản lý đào tạo, tôi muốn quản lý hồ sơ học viên, để tra cứu được toàn bộ quá trình học của một người khi họ xin cấp lại bảng điểm.</t>
  </si>
  <si>
    <t>Khai báo trọn một chương trình đào tạo và nhận lead từ trang đăng ký</t>
  </si>
  <si>
    <t>• Xem và sửa thông tin cá nhân, trình độ đầu vào, ghi chú
• Trang hồ sơ hiển thị lớp đang học và lịch sử các lớp đã học
• Tìm kiếm theo mã học viên, tên, số điện thoại</t>
  </si>
  <si>
    <t>Tuyển sinh &amp; mở lớp</t>
  </si>
  <si>
    <t>Một lead đi trọn phễu thành học viên đã được xếp vào lớp</t>
  </si>
  <si>
    <t>S3-05</t>
  </si>
  <si>
    <t>Thời khoá biểu &amp; điểm danh</t>
  </si>
  <si>
    <t>Lịch học cả lớp được sinh tự động và giảng viên điểm danh trên điện thoại</t>
  </si>
  <si>
    <t>Là Quản lý đào tạo, tôi muốn mở lớp học mới từ một chương trình đào tạo, để khai giảng đúng hẹn mà không phải dựng lại danh sách môn học.</t>
  </si>
  <si>
    <t>• Khai báo mã lớp, chương trình, ngày khai giảng dự kiến, sĩ số tối đa, hình thức học
• Mã lớp là duy nhất
• Lớp có vòng đời: Chuẩn bị → Đang học → Kết thúc → Huỷ
• Danh sách môn học được sao chép từ chương trình khi mở lớp</t>
  </si>
  <si>
    <t>Chuyên cần &amp; bài tập</t>
  </si>
  <si>
    <t>Bảng chuyên cần cảnh báo học viên rủi ro, học viên nộp bài và nộp lại</t>
  </si>
  <si>
    <t>S3-06</t>
  </si>
  <si>
    <t>Chấm điểm &amp; học liệu</t>
  </si>
  <si>
    <t>Vòng phản hồi bài tập khép kín, học viên nhận thông báo và tài liệu buổi học</t>
  </si>
  <si>
    <t>Bảng công nợ theo lớp khớp với sổ kế toán hiện hành</t>
  </si>
  <si>
    <t>Là Quản lý đào tạo, tôi muốn ghi danh học viên vào lớp, đơn lẻ hoặc hàng loạt, để xếp cả nhóm học viên vừa nhập học vào lớp trong một thao tác.</t>
  </si>
  <si>
    <t>• Chọn nhiều học viên để ghi danh cùng lúc
• Chặn ghi danh khi lớp đã đủ sĩ số hoặc học viên đã ở trong lớp
• Ghi nhận ngày ghi danh và người thực hiện</t>
  </si>
  <si>
    <t>Kết quả &amp; báo cáo</t>
  </si>
  <si>
    <t>Bảng điểm, danh sách đủ điều kiện tốt nghiệp, kết quả khảo sát và dashboard</t>
  </si>
  <si>
    <t>S3-07</t>
  </si>
  <si>
    <t>Là Quản lý đào tạo, tôi muốn xem danh sách lớp kèm bộ lọc và chỉ số nhanh, để nắm được tình hình toàn bộ các lớp đang chạy trong một màn hình.</t>
  </si>
  <si>
    <t>• Lọc theo trạng thái, chương trình, giảng viên, khoảng thời gian
• Mỗi dòng hiển thị sĩ số hiện tại trên sĩ số tối đa và tiến độ buổi học</t>
  </si>
  <si>
    <t>S3-08</t>
  </si>
  <si>
    <t>Là Quản lý đào tạo, tôi muốn phân công giảng viên và trợ giảng cho lớp theo từng môn, để mỗi môn đều có người chịu trách nhiệm chuyên môn rõ ràng.</t>
  </si>
  <si>
    <t>• Mỗi môn trong lớp có một giảng viên chính và nhiều trợ giảng
• Chỉ tài khoản có vai trò tương ứng mới hiện trong danh sách chọn
• Phân công xong, giảng viên thấy lớp trong danh sách lớp của mình</t>
  </si>
  <si>
    <t>S3-09</t>
  </si>
  <si>
    <t>Là Quản lý đào tạo, tôi muốn quản lý phòng học và liên kết phòng học trực tuyến, để không xếp lớp 30 người vào phòng chứa 20 chỗ.</t>
  </si>
  <si>
    <t>• Khai báo phòng vật lý với sức chứa, hoặc liên kết phòng trực tuyến
• Cảnh báo khi sĩ số lớp vượt sức chứa phòng</t>
  </si>
  <si>
    <t>DEFINITION OF READY / DEFINITION OF DONE</t>
  </si>
  <si>
    <t>Definition of Ready — story được đưa vào sprint khi</t>
  </si>
  <si>
    <t>SPRINT 4 — Thời khoá biểu và điểm danh   ·   8 story · 45 point</t>
  </si>
  <si>
    <t>Definition of Done — story hoàn thành khi</t>
  </si>
  <si>
    <t>Viết đúng mẫu vai trò – hành động – giá trị</t>
  </si>
  <si>
    <t>Sprint Goal: Quản lý đào tạo sinh được toàn bộ thời khoá biểu của một lớp trong vài thao tác mà không trùng lịch giảng viên, và giảng viên điểm danh xong một buổi dưới một phút.</t>
  </si>
  <si>
    <t>Toàn bộ tiêu chí chấp nhận được kiểm chứng và đạt</t>
  </si>
  <si>
    <t>Có tiêu chí chấp nhận kiểm chứng được, không mơ hồ</t>
  </si>
  <si>
    <t>S4-01</t>
  </si>
  <si>
    <t>Code đã qua ít nhất một người review và được merge vào nhánh chính</t>
  </si>
  <si>
    <t>Là Quản lý đào tạo, tôi muốn sinh thời khoá biểu tự động theo mẫu lặp, để xếp lịch cho một lớp 60 buổi trong vài phút thay vì gõ tay từng buổi.</t>
  </si>
  <si>
    <t>• Khai báo mẫu: các thứ trong tuần, ca học, ngày bắt đầu, số buổi
• Hệ thống sinh đủ buổi và tự bỏ qua ngày nghỉ lễ đã khai báo
• Xem trước danh sách buổi trước khi xác nhận lưu
• Mỗi buổi được gắn với một bài học trong môn</t>
  </si>
  <si>
    <t>Đã được ước lượng point và cả đội cùng hiểu</t>
  </si>
  <si>
    <t>Có unit test cho tầng service, độ phủ nhánh mới ≥ 60%</t>
  </si>
  <si>
    <t>S4-02</t>
  </si>
  <si>
    <t>Không còn phụ thuộc chặn nào chưa xử lý</t>
  </si>
  <si>
    <t>CI xanh: build, lint, test đều pass</t>
  </si>
  <si>
    <t>Là Quản lý đào tạo, tôi muốn được cảnh báo khi lịch bị trùng giảng viên hoặc phòng, để không để một giảng viên bị xếp dạy hai lớp cùng giờ.</t>
  </si>
  <si>
    <t>• Kiểm tra trùng theo giảng viên và theo phòng trong cùng khung giờ
• Hiển thị rõ buổi nào đang xung đột với buổi nào
• Trùng là lỗi chặn, không cho lưu, trừ khi Quản lý đào tạo xác nhận ghi đè</t>
  </si>
  <si>
    <t>Đã có thiết kế giao diện hoặc phác thảo nếu story có UI</t>
  </si>
  <si>
    <t>S4-03</t>
  </si>
  <si>
    <t>Đã deploy lên staging và chạy được</t>
  </si>
  <si>
    <t>Là Quản lý đào tạo, tôi muốn sửa, dời hoặc huỷ một buổi học đơn lẻ, để xử lý được tình huống giảng viên báo bận đột xuất mà cả lớp đều biết.</t>
  </si>
  <si>
    <t>• Đổi được ngày, giờ, phòng, giảng viên dạy thay
• Huỷ buổi bắt buộc nhập lý do
• Học viên và giảng viên của lớp nhận được thông báo thay đổi
• Không sửa được buổi đã điểm danh</t>
  </si>
  <si>
    <t>Nhỏ hơn hoặc bằng 8 point; lớn hơn thì phải chẻ nhỏ</t>
  </si>
  <si>
    <t>Quyền truy cập được kiểm ở tầng server, không chỉ ẩn ở giao diện</t>
  </si>
  <si>
    <t>S4-04</t>
  </si>
  <si>
    <t>Là Quản lý đào tạo, tôi muốn xem thời khoá biểu dạng lịch theo tuần và theo tháng, để phát hiện ngay khoảng trống và điểm chồng chéo khi xếp lịch.</t>
  </si>
  <si>
    <t>• Chuyển đổi giữa chế độ tuần và tháng
• Lọc theo lớp, giảng viên hoặc phòng
• Bấm vào một buổi mở được chi tiết buổi học
• Hiển thị tốt trên màn hình điện thoại</t>
  </si>
  <si>
    <t>Giao diện hoạt động đúng ở khổ 360px</t>
  </si>
  <si>
    <t>S4-05</t>
  </si>
  <si>
    <t>Là Học viên, tôi muốn xem lịch học của riêng mình, để biết hôm nay học phòng nào mà không phải hỏi lại lớp trưởng.</t>
  </si>
  <si>
    <t>• Mặc định hiển thị buổi kế tiếp và các buổi trong tuần
• Chỉ thấy buổi của lớp mình tham gia</t>
  </si>
  <si>
    <t>S4-06</t>
  </si>
  <si>
    <t>Không còn lỗi mức Major trở lên</t>
  </si>
  <si>
    <t>Là Quản lý đào tạo, tôi muốn xử lý bảo lưu, chuyển lớp và thôi học của học viên, để danh sách điểm danh luôn phản ánh đúng ai còn đang học.</t>
  </si>
  <si>
    <t>• Ba loại thao tác có lý do và ngày hiệu lực riêng
• Học viên bảo lưu không còn xuất hiện trong danh sách điểm danh từ ngày hiệu lực
• Chuyển lớp giữ nguyên lịch sử điểm và điểm danh ở lớp cũ
• Toàn bộ thao tác được ghi vào lịch sử hồ sơ học viên</t>
  </si>
  <si>
    <t>S4-07</t>
  </si>
  <si>
    <t>PO đã nghiệm thu trên môi trường staging</t>
  </si>
  <si>
    <t>Là Giảng viên, tôi muốn điểm danh học viên cho một buổi học, để hoàn tất điểm danh trong một phút đầu giờ thay vì mất mười phút gọi tên.</t>
  </si>
  <si>
    <t>• Bốn trạng thái: Có mặt, Đi muộn, Vắng có phép, Vắng không phép
• Có nút đánh dấu tất cả có mặt rồi chỉnh vài trường hợp ngoại lệ
• Mặc định chỉ điểm danh được buổi của ngày hôm nay; sửa buổi quá khứ cần quyền Quản lý đào tạo
• Sửa điểm danh đã lưu được ghi vào nhật ký
• Dùng được thuận tiện trên màn hình 360px</t>
  </si>
  <si>
    <t>RỦI RO CHÍNH</t>
  </si>
  <si>
    <t>S4-08</t>
  </si>
  <si>
    <t>Rủi ro</t>
  </si>
  <si>
    <t>Cách ứng phó</t>
  </si>
  <si>
    <t>Là Học viên, tôi muốn gửi đơn xin phép vắng và theo dõi kết quả duyệt, để nghỉ có lý do chính đáng không bị tính là vắng không phép.</t>
  </si>
  <si>
    <t>Khả năng</t>
  </si>
  <si>
    <t>• Chọn buổi học, nhập lý do, đính kèm tệp minh chứng nếu có
• Giảng viên duyệt hoặc từ chối, có ghi lý do
• Đơn được duyệt tự động đặt trạng thái điểm danh thành Vắng có phép
• Học viên nhận thông báo khi có kết quả</t>
  </si>
  <si>
    <t>Tác động</t>
  </si>
  <si>
    <t>Velocity thực của đội thấp hơn 42 pt ở hai sprint đầu</t>
  </si>
  <si>
    <t>Hiệu chỉnh lại toàn bộ kế hoạch sau Sprint 2 bằng velocity thật; các story Should và Could là phần cắt trước tiên</t>
  </si>
  <si>
    <t>SPRINT 5 — Chuyên cần và vòng đời bài tập   ·   10 story · 45 point</t>
  </si>
  <si>
    <t>Cao</t>
  </si>
  <si>
    <t>Công việc kỹ thuật không nằm trong backlog nên bị bỏ quên</t>
  </si>
  <si>
    <t>Sprint Goal: Hệ thống tự cảnh báo học viên vắng vượt ngưỡng, và vòng nộp bài hoạt động đầy đủ từ lúc giảng viên giao đến lúc học viên nộp lại lần hai.</t>
  </si>
  <si>
    <t>Lập một danh sách kỹ thuật riêng ngay ở Sprint 1 và bảo vệ 15% thời lượng mỗi sprint cho nó; nếu không, nợ kỹ thuật sẽ nổ vào Sprint 6–7</t>
  </si>
  <si>
    <t>Sinh thời khoá biểu và phát hiện trùng lịch (S4-01, S4-02) phức tạp hơn ước lượng</t>
  </si>
  <si>
    <t>Làm thử nghiệm kỹ thuật trong Sprint 3; nếu quá khó thì hạ xuống nhập lịch thủ công cộng cảnh báo hậu kiểm</t>
  </si>
  <si>
    <t>S5-01</t>
  </si>
  <si>
    <t>Trung bình</t>
  </si>
  <si>
    <t>Là Giảng viên, tôi muốn xem bảng chuyên cần tổng hợp của một lớp, để nhìn ra ngay ai đang có nguy cơ bỏ học để gọi điện kịp thời.</t>
  </si>
  <si>
    <t>Sprint 1 tuần khiến story 8 point không kịp đóng trong một sprint</t>
  </si>
  <si>
    <t>Chẻ mọi story 8 point thành hai phần API và giao diện ngay ở buổi Sprint Planning</t>
  </si>
  <si>
    <t>• Ma trận học viên theo buổi, ô màu theo trạng thái
• Cột tổng: số buổi vắng và tỷ lệ chuyên cần theo phần trăm
• Sắp xếp được theo tỷ lệ chuyên cần tăng dần</t>
  </si>
  <si>
    <t>Yêu cầu nghiệp vụ học phí thay đổi giữa chừng</t>
  </si>
  <si>
    <t>S5-02</t>
  </si>
  <si>
    <t>Phỏng vấn kế toán và chốt quy tắc chia đợt trước khi Sprint 7 bắt đầu, chậm nhất cuối Sprint 5</t>
  </si>
  <si>
    <t>Là Quản lý đào tạo, tôi muốn được cảnh báo khi học viên vắng vượt ngưỡng cho phép, để can thiệp trước khi học viên bỏ hẳn chứ không phải sau khi đã mất.</t>
  </si>
  <si>
    <t>• Ngưỡng cấu hình được theo chương trình, mặc định 20% số buổi
• Học viên vượt ngưỡng được gắn cờ trên danh sách lớp và hồ sơ
• Giảng viên và Quản lý đào tạo nhận thông báo khi cờ được bật</t>
  </si>
  <si>
    <t>Không có lớp thật để chạy pilot</t>
  </si>
  <si>
    <t>Chuẩn bị bộ dữ liệu mô phỏng một lớp đầy đủ ngay từ Sprint 2 để phục vụ demo</t>
  </si>
  <si>
    <t>S5-03</t>
  </si>
  <si>
    <t>Thấp</t>
  </si>
  <si>
    <t>Là Học viên, tôi muốn xem lịch sử điểm danh của bản thân, để biết mình còn được nghỉ mấy buổi nữa trước khi bị cảnh cáo.</t>
  </si>
  <si>
    <t>• Danh sách buổi kèm trạng thái, tỷ lệ chuyên cần hiện tại
• Hiển thị cảnh báo khi đang tiến gần ngưỡng vắng</t>
  </si>
  <si>
    <t>S5-04</t>
  </si>
  <si>
    <t>Là Quản lý đào tạo, tôi muốn xuất bảng chuyên cần của lớp ra tệp Excel, để gửi báo cáo chuyên cần cho ban giám đốc theo mẫu họ quen dùng.</t>
  </si>
  <si>
    <t>• Tệp giữ nguyên cấu trúc ma trận và cột tổng
• Tên tệp chứa mã lớp và ngày xuất</t>
  </si>
  <si>
    <t>S5-05</t>
  </si>
  <si>
    <t>Là Giảng viên, tôi muốn tạo bài tập và giao cho lớp, để giao bài một lần là cả lớp cùng nhận được, không phải gửi Zalo từng nhóm.</t>
  </si>
  <si>
    <t>• Khai báo tiêu đề, mô tả có định dạng, hạn nộp, điểm tối đa, tệp đính kèm
• Gắn bài tập với một môn học và buổi học cụ thể
• Lưu nháp trước, giao cho lớp sau
• Khi giao, toàn bộ học viên trong lớp nhận thông báo
• Hạn nộp không được ở quá khứ</t>
  </si>
  <si>
    <t>S5-06</t>
  </si>
  <si>
    <t>Là Học viên, tôi muốn xem danh sách bài tập của mình kèm trạng thái, để không bỏ lỡ hạn nộp vì quên mất còn bài chưa làm.</t>
  </si>
  <si>
    <t>• Nhóm theo: Chưa nộp, Đã nộp, Đã chấm, Cần làm lại
• Hiển thị thời gian còn lại tới hạn nộp, làm nổi bật bài sắp hết hạn
• Sắp xếp mặc định theo hạn nộp gần nhất</t>
  </si>
  <si>
    <t>S5-07</t>
  </si>
  <si>
    <t>Là Học viên, tôi muốn nộp bài tập bằng tệp và liên kết mã nguồn, để nộp bài có bằng chứng thời điểm thay vì gửi Zalo rồi lo giảng viên bỏ sót.</t>
  </si>
  <si>
    <t>• Tải lên nhiều tệp, mỗi tệp tối đa 20MB, kèm ô nhập liên kết repo
• Kiểm tra định dạng liên kết trước khi lưu
• Nộp xong hiển thị mốc thời gian nộp và trạng thái Đã nộp</t>
  </si>
  <si>
    <t>S5-08</t>
  </si>
  <si>
    <t>Là Học viên, tôi muốn nộp lại bài và xem lại các phiên bản đã nộp, để sửa được lỗi phát hiện sau khi nộp mà không mất bài cũ.</t>
  </si>
  <si>
    <t>• Mỗi lần nộp tạo một phiên bản mới, không ghi đè phiên bản cũ
• Giảng viên xem được toàn bộ lịch sử nộp
• Bài đã chấm xong không nộp lại được, trừ khi giảng viên mở lại</t>
  </si>
  <si>
    <t>S5-09</t>
  </si>
  <si>
    <t>Là Giảng viên, tôi muốn kiểm soát việc nộp muộn, để giữ được kỷ luật về hạn nộp mà vẫn linh hoạt với trường hợp đặc biệt.</t>
  </si>
  <si>
    <t>• Cấu hình theo bài tập: chặn nộp muộn, hoặc cho nộp và đánh dấu Nộp muộn
• Bài nộp muộn hiển thị nhãn cảnh báo và số giờ trễ</t>
  </si>
  <si>
    <t>S5-10</t>
  </si>
  <si>
    <t>Là Giảng viên, tôi muốn xem danh sách bài nộp của một bài tập, để biết còn ai chưa nộp để nhắc trước khi chấm.</t>
  </si>
  <si>
    <t>• Hiển thị đủ danh sách lớp, kể cả học viên chưa nộp
• Lọc theo Chưa chấm, Đã chấm, Nộp muộn, Chưa nộp
• Thanh tiến độ chấm: đã chấm bao nhiêu trên tổng số</t>
  </si>
  <si>
    <t>SPRINT 6 — Chấm điểm, học liệu và thông báo   ·   11 story · 45 point</t>
  </si>
  <si>
    <t>Sprint Goal: Giảng viên chấm bài theo rubric hoặc yêu cầu làm lại, học viên nhận thông báo, xem được nhận xét chi tiết và tải được tài liệu của buổi học.</t>
  </si>
  <si>
    <t>S6-01</t>
  </si>
  <si>
    <t>Là Giảng viên, tôi muốn chấm điểm và viết nhận xét cho một bài nộp, để chấm hết một lớp 25 bài trong một buổi tối mà không phải mở nhiều cửa sổ.</t>
  </si>
  <si>
    <t>• Xem trước tệp nộp và mở liên kết repo ngay trong màn hình chấm
• Nhập điểm trong khoảng 0 đến điểm tối đa, kèm nhận xét
• Nút chuyển nhanh sang bài kế tiếp mà không quay lại danh sách
• Điểm chỉ hiển thị cho học viên sau khi giảng viên bấm Công bố
• Mọi lần sửa điểm được ghi nhật ký kèm người sửa và thời điểm</t>
  </si>
  <si>
    <t>S6-02</t>
  </si>
  <si>
    <t>Là Giảng viên, tôi muốn chấm theo rubric nhiều tiêu chí, để chấm công bằng giữa các lớp và giải thích được với học viên vì sao mất điểm.</t>
  </si>
  <si>
    <t>• Khai báo rubric gồm các tiêu chí và trọng số, tổng trọng số bằng 100%
• Rubric lưu thành mẫu để dùng lại cho bài tập khác
• Điểm tổng được tính tự động từ điểm các tiêu chí
• Học viên nhìn thấy điểm chi tiết từng tiêu chí</t>
  </si>
  <si>
    <t>S6-03</t>
  </si>
  <si>
    <t>Là Giảng viên, tôi muốn yêu cầu học viên làm lại bài, để kèm học viên yếu tới khi đạt thay vì cho điểm thấp rồi bỏ qua.</t>
  </si>
  <si>
    <t>• Chuyển bài nộp sang trạng thái Cần làm lại kèm nhận xét bắt buộc
• Học viên nộp lại được và có hạn nộp mới
• Số lần yêu cầu làm lại được lưu lại</t>
  </si>
  <si>
    <t>S6-04</t>
  </si>
  <si>
    <t>Là Học viên, tôi muốn xem điểm và nhận xét cho bài đã chấm, để biết mình sai ở đâu để lần sau làm tốt hơn.</t>
  </si>
  <si>
    <t>• Hiển thị điểm, chi tiết theo rubric nếu có, nhận xét của giảng viên
• Chỉ hiện sau khi điểm được công bố</t>
  </si>
  <si>
    <t>S6-05</t>
  </si>
  <si>
    <t>Là Giảng viên, tôi muốn tải lên tài liệu học liệu cho từng buổi học, để học viên nghỉ buổi nào vẫn tự học bù được buổi đó.</t>
  </si>
  <si>
    <t>• Đính kèm nhiều tệp và liên kết ngoài cho một buổi học
• Chỉ học viên của lớp đó tải được tài liệu
• Ghi nhận người tải lên và thời điểm</t>
  </si>
  <si>
    <t>S6-06</t>
  </si>
  <si>
    <t>Là Học viên, tôi muốn xem và tải tài liệu của các buổi đã học, để ôn lại bài mà không phải đi xin tài liệu từ bạn cùng lớp.</t>
  </si>
  <si>
    <t>• Tài liệu nhóm theo buổi học và theo môn
• Chỉ hiện tài liệu của buổi đã diễn ra hoặc buổi được giảng viên mở sớm</t>
  </si>
  <si>
    <t>S6-07</t>
  </si>
  <si>
    <t>Là Quản lý đào tạo, tôi muốn gửi thông báo tới toàn bộ học viên của một lớp, để báo tin nghỉ lễ hay đổi phòng mà chắc chắn mọi người đều nhận được.</t>
  </si>
  <si>
    <t>• Soạn thông báo có tiêu đề và nội dung, chọn một hoặc nhiều lớp
• Thông báo hiện trong ứng dụng và gửi kèm email
• Xem được số học viên đã đọc thông báo</t>
  </si>
  <si>
    <t>S6-08</t>
  </si>
  <si>
    <t>Là Học viên, tôi muốn nhận email nhắc buổi học sắp tới, để không quên buổi học sau kỳ nghỉ dài.</t>
  </si>
  <si>
    <t>• Gửi nhắc trước buổi học theo mốc cấu hình được, mặc định 12 giờ
• Học viên tắt được nhắc lịch trong phần cài đặt cá nhân
• Không gửi nhắc cho buổi đã bị huỷ</t>
  </si>
  <si>
    <t>S6-09</t>
  </si>
  <si>
    <t>Là người dùng của hệ thống, tôi muốn nhận thông báo trong ứng dụng cho các sự kiện quan trọng, để không phải vào kiểm tra thủ công xem có gì mới.</t>
  </si>
  <si>
    <t>• Kích hoạt khi: có bài tập mới, điểm được công bố, buổi học bị dời, đơn xin phép có kết quả, học phí sắp đến hạn
• Biểu tượng chuông hiển thị số thông báo chưa đọc
• Thông báo được sinh bất đồng bộ, không làm chậm thao tác gốc</t>
  </si>
  <si>
    <t>S6-10</t>
  </si>
  <si>
    <t>Là người dùng của hệ thống, tôi muốn quản lý danh sách thông báo của mình, để tìm lại được thông báo cũ mà không bị ngập trong thông báo đã đọc.</t>
  </si>
  <si>
    <t>• Đánh dấu đã đọc từng thông báo hoặc tất cả
• Bấm vào thông báo mở đúng màn hình liên quan
• Danh sách cuộn tải thêm</t>
  </si>
  <si>
    <t>S6-11</t>
  </si>
  <si>
    <t>Là Quản trị hệ thống, tôi muốn xem nhật ký thao tác trên dữ liệu nhạy cảm, để truy được ai đã sửa điểm hoặc sửa học phí khi có khiếu nại.</t>
  </si>
  <si>
    <t>• Ghi lại mọi thao tác trên điểm, học phí, vai trò người dùng
• Mỗi bản ghi có người thực hiện, thời điểm, giá trị trước và sau
• Lọc theo người dùng, loại đối tượng, khoảng thời gian</t>
  </si>
  <si>
    <t>SPRINT 7 — Học phí và công nợ   ·   8 story · 44 point</t>
  </si>
  <si>
    <t>Sprint Goal: Kế toán ghi nhận được một khoản thu và bảng công nợ của lớp pilot khớp hoàn toàn với sổ sách hiện hành.</t>
  </si>
  <si>
    <t>S7-01</t>
  </si>
  <si>
    <t>Là Kế toán, tôi muốn khai báo biểu phí theo chương trình và khoá, để áp đúng mức học phí của từng khoá mà không phải nhớ trong đầu.</t>
  </si>
  <si>
    <t>• Một chương trình có nhiều biểu phí theo thời gian hiệu lực
• Số tiền hiển thị và nhập theo định dạng VND
• Biểu phí đã áp dụng cho học viên thì không sửa, chỉ tạo phiên bản mới</t>
  </si>
  <si>
    <t>S7-02</t>
  </si>
  <si>
    <t>Là Kế toán, tôi muốn sinh kế hoạch thanh toán theo đợt cho học viên, để biết chính xác ngày nào cần nhắc ai đóng tiền.</t>
  </si>
  <si>
    <t>• Chia học phí thành nhiều đợt với số tiền và hạn thanh toán riêng
• Áp dụng mẫu chia đợt sẵn có, hoặc nhập thủ công
• Tổng các đợt phải bằng học phí phải đóng sau giảm giá
• Sinh hàng loạt cho cả lớp</t>
  </si>
  <si>
    <t>S7-03</t>
  </si>
  <si>
    <t>Là Kế toán, tôi muốn ghi nhận một khoản thanh toán và in biên lai, để học viên có bằng chứng đã đóng tiền và sổ sách không bao giờ lệch.</t>
  </si>
  <si>
    <t>• Ghi số tiền, hình thức (tiền mặt, chuyển khoản), ngày thu, người thu, ghi chú
• Cho phép thu một phần, đợt tự chuyển sang Thanh toán một phần
• Không cho thu vượt số tiền còn nợ của đợt
• Sinh biên lai có mã duy nhất, in hoặc tải PDF được
• Đã ghi nhận thì không xoá, chỉ lập bút toán điều chỉnh</t>
  </si>
  <si>
    <t>S7-04</t>
  </si>
  <si>
    <t>Là Kế toán, tôi muốn áp dụng học bổng và chương trình giảm giá, để triển khai được chính sách khuyến học mà vẫn kiểm soát được mức giảm.</t>
  </si>
  <si>
    <t>• Giảm theo số tiền cố định hoặc theo phần trăm, bắt buộc nhập lý do
• Áp dụng xong hệ thống tính lại kế hoạch thanh toán
• Giảm giá vượt 30% cần Quản lý đào tạo phê duyệt</t>
  </si>
  <si>
    <t>S7-05</t>
  </si>
  <si>
    <t>Là Kế toán, tôi muốn xem bảng công nợ theo lớp và theo học viên, để trả lời ngay được câu hỏi lớp này còn bao nhiêu tiền chưa thu.</t>
  </si>
  <si>
    <t>• Các cột: phải thu, đã thu, còn nợ, số ngày quá hạn
• Lọc riêng nhóm đang quá hạn
• Hiển thị tổng cộng ở chân bảng
• Xuất được ra Excel</t>
  </si>
  <si>
    <t>S7-06</t>
  </si>
  <si>
    <t>Là Học viên, tôi muốn nhận nhắc hạn thanh toán tự động, để không bị nhắc nợ đột ngột vì quên mất hạn đóng đợt hai.</t>
  </si>
  <si>
    <t>• Gửi email và thông báo trong ứng dụng trước hạn 3 ngày và khi quá hạn
• Tác vụ định kỳ chạy mỗi ngày một lần
• Không gửi trùng nhiều lần cho cùng một đợt trong cùng một ngày</t>
  </si>
  <si>
    <t>S7-07</t>
  </si>
  <si>
    <t>Là Học viên, tôi muốn xem tình trạng học phí của bản thân, để tự kiểm tra được mình đã đóng tới đâu mà không phải hỏi kế toán.</t>
  </si>
  <si>
    <t>• Danh sách các đợt kèm số tiền, hạn, trạng thái
• Xem và tải lại biên lai của các khoản đã đóng</t>
  </si>
  <si>
    <t>S7-08</t>
  </si>
  <si>
    <t>Là Kế toán, tôi muốn xuất báo cáo doanh thu theo kỳ, để báo cáo cho ban giám đốc mà không phải ghép file cả ngày.</t>
  </si>
  <si>
    <t>• Chọn khoảng thời gian, nhóm theo lớp hoặc theo chương trình
• Hiển thị số đã thu, còn phải thu, biểu đồ theo tháng
• Xuất Excel</t>
  </si>
  <si>
    <t>SPRINT 8 — Kết quả học tập, khảo sát và dashboard   ·   8 story · 44 point</t>
  </si>
  <si>
    <t>Sprint Goal: Lớp pilot chạy hết chu trình: có bảng điểm tổng kết, danh sách đủ điều kiện hoàn thành, kết quả khảo sát chất lượng và dashboard vận hành.</t>
  </si>
  <si>
    <t>S8-01</t>
  </si>
  <si>
    <t>Là Quản lý đào tạo, tôi muốn cấu hình cách tính điểm tổng kết môn học, để áp dụng đúng quy chế đào tạo mà không phải tính tay từng học viên.</t>
  </si>
  <si>
    <t>• Khai báo các thành phần điểm và trọng số, tổng bằng 100%
• Đặt điểm liệt và điểm đạt cho môn
• Cấu hình theo chương trình, ghi đè được ở cấp lớp</t>
  </si>
  <si>
    <t>S8-02</t>
  </si>
  <si>
    <t>Là Giảng viên, tôi muốn xem điểm tổng kết môn được hệ thống tính tự động, để chốt điểm cuối môn trong một buổi thay vì ngồi cộng Excel cả tuần.</t>
  </si>
  <si>
    <t>• Điểm tính lại tự động mỗi khi một điểm thành phần thay đổi
• Hiển thị cách tính chi tiết để đối chiếu
• Học viên thiếu điểm thành phần bị đánh dấu Chưa đủ điều kiện tính
• Giảng viên chốt điểm, sau khi chốt phải có quyền Quản lý đào tạo mới mở lại được</t>
  </si>
  <si>
    <t>S8-03</t>
  </si>
  <si>
    <t>Là Học viên, tôi muốn xem và xuất bảng điểm toàn khoá, để xin việc có bảng điểm chính thức mà không phải chờ trung tâm làm tay.</t>
  </si>
  <si>
    <t>• Liệt kê toàn bộ môn đã học, điểm tổng kết, kết quả đạt hoặc không đạt
• Hiển thị điểm trung bình toàn khoá
• Xuất PDF có mã học viên, tên trung tâm và ngày cấp</t>
  </si>
  <si>
    <t>S8-04</t>
  </si>
  <si>
    <t>Là Quản lý đào tạo, tôi muốn xét điều kiện hoàn thành khoá học của cả lớp, để công nhận tốt nghiệp đúng người mà không bỏ sót ai còn nợ học phí.</t>
  </si>
  <si>
    <t>• Điều kiện kiểm tra: đạt toàn bộ môn, chuyên cần trên ngưỡng, không còn nợ học phí
• Danh sách chia hai nhóm Đủ điều kiện và Chưa đủ, có nêu rõ lý do
• Xác nhận tốt nghiệp hàng loạt, hồ sơ học viên chuyển sang trạng thái Đã tốt nghiệp</t>
  </si>
  <si>
    <t>S8-05</t>
  </si>
  <si>
    <t>Là Học viên, tôi muốn trả lời khảo sát chất lượng cuối khoá, để góp ý được về giảng viên và chương trình một cách ẩn danh.</t>
  </si>
  <si>
    <t>• Bộ câu hỏi khai báo được, gồm câu thang điểm và câu tự luận
• Khảo sát mở theo lớp và có hạn trả lời
• Câu trả lời ẩn danh với giảng viên, chỉ Quản lý đào tạo biết ai đã trả lời để nhắc
• Mỗi học viên chỉ trả lời được một lần cho mỗi lớp</t>
  </si>
  <si>
    <t>S8-06</t>
  </si>
  <si>
    <t>Là Quản lý đào tạo, tôi muốn xem kết quả khảo sát theo lớp và theo giảng viên, để có cơ sở số liệu khi trao đổi với giảng viên về chất lượng giảng dạy.</t>
  </si>
  <si>
    <t>• Điểm trung bình từng câu hỏi theo lớp và theo giảng viên
• So sánh giữa các lớp của cùng một giảng viên
• Danh sách câu trả lời tự luận, không kèm danh tính người trả lời
• Xuất Excel</t>
  </si>
  <si>
    <t>S8-07</t>
  </si>
  <si>
    <t>Là Quản lý đào tạo, tôi muốn xem dashboard vận hành đào tạo, để nắm tình hình toàn trung tâm mỗi sáng trong hai phút.</t>
  </si>
  <si>
    <t>• Thẻ chỉ số: số lớp đang chạy, tổng học viên đang học, tỷ lệ chuyên cần trung bình, công nợ quá hạn
• Biểu đồ tuyển sinh theo tháng và biểu đồ phễu lead
• Danh sách học viên rủi ro cao, xếp theo mức độ
• Toàn bộ dữ liệu tải xong dưới 2 giây</t>
  </si>
  <si>
    <t>S8-08</t>
  </si>
  <si>
    <t>Là Giảng viên, tôi muốn xem dashboard lớp mình phụ trách, để biết ngay hôm nay cần chấm bài nào và nhắc học viên nào.</t>
  </si>
  <si>
    <t>• Buổi dạy kế tiếp, số bài chưa chấm, học viên vắng nhiều nhất
• Liên kết đi thẳng tới màn hình điểm danh và màn hình chấm bài</t>
  </si>
  <si>
    <t>TỔNG CỘNG</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</si>
</sst>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8.0"/>
      <color rgb="FF111A19"/>
      <name val="Times New Roman"/>
    </font>
    <font>
      <b/>
      <sz val="16.0"/>
      <color rgb="FF111A19"/>
      <name val="Times New Roman"/>
    </font>
    <font>
      <i/>
      <sz val="12.0"/>
      <color rgb="FF6B7C77"/>
      <name val="Times New Roman"/>
    </font>
    <font>
      <sz val="12.0"/>
      <color theme="1"/>
      <name val="Times New Roman"/>
    </font>
    <font>
      <b/>
      <sz val="14.0"/>
      <color rgb="FF0B6B60"/>
      <name val="Times New Roman"/>
    </font>
    <font>
      <b/>
      <sz val="12.0"/>
      <color rgb="FFFFFFFF"/>
      <name val="Times New Roman"/>
    </font>
    <font>
      <i/>
      <sz val="9.0"/>
      <color rgb="FF6B7C77"/>
      <name val="Times New Roman"/>
    </font>
    <font>
      <b/>
      <sz val="12.0"/>
      <color rgb="FF0B6B60"/>
      <name val="Times New Roman"/>
    </font>
    <font>
      <b/>
      <sz val="12.0"/>
      <color theme="1"/>
      <name val="Times New Roman"/>
    </font>
    <font>
      <sz val="10.0"/>
      <color rgb="FF0B6B60"/>
      <name val="Times New Roman"/>
    </font>
    <font/>
    <font>
      <i/>
      <sz val="9.0"/>
      <color rgb="FF111A19"/>
      <name val="Times New Roman"/>
    </font>
    <font>
      <sz val="10.0"/>
      <color rgb="FF6B7C77"/>
      <name val="Times New Roman"/>
    </font>
    <font>
      <b/>
      <sz val="9.0"/>
      <color rgb="FF96263F"/>
      <name val="Times New Roman"/>
    </font>
    <font>
      <sz val="12.0"/>
      <color rgb="FFB9C4C0"/>
      <name val="Times New Roman"/>
    </font>
    <font>
      <b/>
      <sz val="9.0"/>
      <color rgb="FF8E5C0C"/>
      <name val="Times New Roman"/>
    </font>
    <font>
      <b/>
      <sz val="9.0"/>
      <color rgb="FF6B7C77"/>
      <name val="Times New Roman"/>
    </font>
  </fonts>
  <fills count="7">
    <fill>
      <patternFill patternType="none"/>
    </fill>
    <fill>
      <patternFill patternType="lightGray"/>
    </fill>
    <fill>
      <patternFill patternType="solid">
        <fgColor rgb="FF0B6B60"/>
        <bgColor rgb="FF0B6B60"/>
      </patternFill>
    </fill>
    <fill>
      <patternFill patternType="solid">
        <fgColor rgb="FFDCEDE9"/>
        <bgColor rgb="FFDCEDE9"/>
      </patternFill>
    </fill>
    <fill>
      <patternFill patternType="solid">
        <fgColor rgb="FFEBF0ED"/>
        <bgColor rgb="FFEBF0ED"/>
      </patternFill>
    </fill>
    <fill>
      <patternFill patternType="solid">
        <fgColor rgb="FFF7E0E4"/>
        <bgColor rgb="FFF7E0E4"/>
      </patternFill>
    </fill>
    <fill>
      <patternFill patternType="solid">
        <fgColor rgb="FFF5E9D2"/>
        <bgColor rgb="FFF5E9D2"/>
      </patternFill>
    </fill>
  </fills>
  <borders count="7">
    <border/>
    <border>
      <left style="thin">
        <color rgb="FFD3DCD7"/>
      </left>
      <right style="thin">
        <color rgb="FFD3DCD7"/>
      </right>
      <top style="thin">
        <color rgb="FFD3DCD7"/>
      </top>
      <bottom style="thin">
        <color rgb="FFD3DCD7"/>
      </bottom>
    </border>
    <border>
      <left/>
      <top/>
      <bottom/>
    </border>
    <border>
      <top/>
      <bottom/>
    </border>
    <border>
      <left style="thin">
        <color rgb="FFD3DCD7"/>
      </left>
      <top style="thin">
        <color rgb="FFD3DCD7"/>
      </top>
      <bottom style="thin">
        <color rgb="FFD3DCD7"/>
      </bottom>
    </border>
    <border>
      <top style="thin">
        <color rgb="FFD3DCD7"/>
      </top>
      <bottom style="thin">
        <color rgb="FFD3DCD7"/>
      </bottom>
    </border>
    <border>
      <right style="thin">
        <color rgb="FFD3DCD7"/>
      </right>
      <top style="thin">
        <color rgb="FFD3DCD7"/>
      </top>
      <bottom style="thin">
        <color rgb="FFD3DCD7"/>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Alignment="1" applyFont="1">
      <alignment vertical="center"/>
    </xf>
    <xf borderId="1" fillId="2" fontId="6" numFmtId="0" xfId="0" applyAlignment="1" applyBorder="1" applyFill="1" applyFont="1">
      <alignment horizontal="center" shrinkToFit="0" vertical="center" wrapText="1"/>
    </xf>
    <xf borderId="0" fillId="0" fontId="7" numFmtId="0" xfId="0" applyFont="1"/>
    <xf borderId="1" fillId="0" fontId="8" numFmtId="0" xfId="0" applyAlignment="1" applyBorder="1" applyFont="1">
      <alignment horizontal="left" shrinkToFit="0" vertical="top" wrapText="1"/>
    </xf>
    <xf borderId="1" fillId="0" fontId="9" numFmtId="0" xfId="0" applyAlignment="1" applyBorder="1" applyFont="1">
      <alignment horizontal="lef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0" fontId="4" numFmtId="9" xfId="0" applyAlignment="1" applyBorder="1" applyFont="1" applyNumberFormat="1">
      <alignment horizontal="center" shrinkToFit="0" vertical="center" wrapText="1"/>
    </xf>
    <xf borderId="2" fillId="2" fontId="6" numFmtId="0" xfId="0" applyAlignment="1" applyBorder="1" applyFill="1" applyFont="1">
      <alignment horizontal="left" vertical="center"/>
    </xf>
    <xf borderId="3" fillId="0" fontId="11" numFmtId="0" xfId="0" applyBorder="1" applyFont="1"/>
    <xf borderId="0" fillId="0" fontId="4" numFmtId="0" xfId="0" applyAlignment="1" applyFont="1">
      <alignment horizontal="left" shrinkToFit="0" vertical="top" wrapText="1"/>
    </xf>
    <xf borderId="4" fillId="0" fontId="4" numFmtId="0" xfId="0" applyAlignment="1" applyBorder="1" applyFont="1">
      <alignment horizontal="left" shrinkToFit="0" vertical="top" wrapText="1"/>
    </xf>
    <xf borderId="2" fillId="3" fontId="12" numFmtId="0" xfId="0" applyAlignment="1" applyBorder="1" applyFill="1" applyFont="1">
      <alignment horizontal="left" shrinkToFit="0" vertical="center" wrapText="1"/>
    </xf>
    <xf borderId="4" fillId="4" fontId="9" numFmtId="0" xfId="0" applyBorder="1" applyFill="1" applyFont="1"/>
    <xf borderId="5" fillId="0" fontId="11" numFmtId="0" xfId="0" applyBorder="1" applyFont="1"/>
    <xf borderId="6" fillId="0" fontId="11" numFmtId="0" xfId="0" applyBorder="1" applyFont="1"/>
    <xf borderId="1" fillId="0" fontId="13" numFmtId="0" xfId="0" applyAlignment="1" applyBorder="1" applyFont="1">
      <alignment horizontal="center" shrinkToFit="0" vertical="center" wrapText="1"/>
    </xf>
    <xf borderId="0" fillId="0" fontId="7" numFmtId="0" xfId="0" applyAlignment="1" applyFont="1">
      <alignment horizontal="left" shrinkToFit="0" vertical="top" wrapText="1"/>
    </xf>
    <xf borderId="1" fillId="0" fontId="10" numFmtId="0" xfId="0" applyAlignment="1" applyBorder="1" applyFont="1">
      <alignment horizontal="center" shrinkToFit="0" vertical="center" wrapText="1"/>
    </xf>
    <xf borderId="4" fillId="2" fontId="6" numFmtId="0" xfId="0" applyAlignment="1" applyBorder="1" applyFill="1" applyFont="1">
      <alignment horizontal="center" shrinkToFit="0" vertical="center" wrapText="1"/>
    </xf>
    <xf borderId="1" fillId="4" fontId="9" numFmtId="0" xfId="0" applyAlignment="1" applyBorder="1" applyFill="1" applyFont="1">
      <alignment horizontal="center" shrinkToFit="0" vertical="center" wrapText="1"/>
    </xf>
    <xf borderId="1" fillId="4" fontId="4" numFmtId="9" xfId="0" applyAlignment="1" applyBorder="1" applyFill="1" applyFont="1" applyNumberFormat="1">
      <alignment horizontal="center" shrinkToFit="0" vertical="center" wrapText="1"/>
    </xf>
    <xf borderId="1" fillId="4" fontId="4" numFmtId="0" xfId="0" applyAlignment="1" applyBorder="1" applyFill="1" applyFont="1">
      <alignment horizontal="center" shrinkToFit="0" vertical="center" wrapText="1"/>
    </xf>
    <xf borderId="2" fillId="3" fontId="4" numFmtId="0" xfId="0" applyAlignment="1" applyBorder="1" applyFill="1" applyFont="1">
      <alignment horizontal="left" shrinkToFit="0" vertical="top" wrapText="1"/>
    </xf>
    <xf borderId="1" fillId="5" fontId="14" numFmtId="0" xfId="0" applyAlignment="1" applyBorder="1" applyFill="1" applyFont="1">
      <alignment horizontal="center" shrinkToFit="0" vertical="center" wrapText="1"/>
    </xf>
    <xf borderId="4" fillId="0" fontId="9" numFmtId="0" xfId="0" applyAlignment="1" applyBorder="1" applyFont="1">
      <alignment horizontal="left" shrinkToFit="0" vertical="top" wrapText="1"/>
    </xf>
    <xf borderId="1" fillId="0" fontId="1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 fillId="6" fontId="4" numFmtId="0" xfId="0" applyAlignment="1" applyBorder="1" applyFill="1" applyFont="1">
      <alignment horizontal="center" shrinkToFit="0" vertical="center" wrapText="1"/>
    </xf>
    <xf borderId="4" fillId="3" fontId="4" numFmtId="0" xfId="0" applyAlignment="1" applyBorder="1" applyFill="1" applyFont="1">
      <alignment horizontal="left" shrinkToFit="0" vertical="top" wrapText="1"/>
    </xf>
    <xf borderId="4" fillId="4" fontId="4" numFmtId="0" xfId="0" applyAlignment="1" applyBorder="1" applyFill="1" applyFont="1">
      <alignment horizontal="left" shrinkToFit="0" vertical="top" wrapText="1"/>
    </xf>
    <xf borderId="1" fillId="6" fontId="16" numFmtId="0" xfId="0" applyAlignment="1" applyBorder="1" applyFill="1" applyFont="1">
      <alignment horizontal="center" shrinkToFit="0" vertical="center" wrapText="1"/>
    </xf>
    <xf borderId="1" fillId="4" fontId="17" numFmtId="0" xfId="0" applyAlignment="1" applyBorder="1" applyFill="1" applyFont="1">
      <alignment horizontal="center" shrinkToFit="0" vertical="center" wrapText="1"/>
    </xf>
    <xf borderId="1" fillId="0" fontId="8" numFmtId="0" xfId="0" applyAlignment="1" applyBorder="1" applyFont="1">
      <alignment horizontal="center" shrinkToFit="0" vertical="center" wrapText="1"/>
    </xf>
    <xf borderId="4" fillId="5" fontId="14" numFmtId="0" xfId="0" applyAlignment="1" applyBorder="1" applyFill="1" applyFont="1">
      <alignment horizontal="center" shrinkToFit="0" vertical="center" wrapText="1"/>
    </xf>
    <xf borderId="4" fillId="6" fontId="16" numFmtId="0" xfId="0" applyAlignment="1" applyBorder="1" applyFill="1" applyFont="1">
      <alignment horizontal="center" shrinkToFit="0" vertical="center" wrapText="1"/>
    </xf>
    <xf borderId="1" fillId="4" fontId="4" numFmtId="0" xfId="0" applyBorder="1" applyFill="1" applyFont="1"/>
  </cellXfs>
  <cellStyles count="1">
    <cellStyle xfId="0" name="Normal" builtinId="0"/>
  </cellStyles>
  <dxfs count="1">
    <dxf>
      <font>
        <b/>
        <color rgb="FF96263F"/>
      </font>
      <fill>
        <patternFill patternType="solid">
          <fgColor rgb="FFF7E0E4"/>
          <bgColor rgb="FFF7E0E4"/>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6B6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6.0"/>
    <col customWidth="1" min="2" max="2" width="34.0"/>
    <col customWidth="1" min="3" max="3" width="58.0"/>
    <col customWidth="1" min="4" max="4" width="28.0"/>
    <col customWidth="1" min="5" max="26" width="8.71"/>
  </cols>
  <sheetData>
    <row r="1" ht="30.0" customHeight="1">
      <c r="A1" s="1" t="s">
        <v>0</v>
      </c>
    </row>
    <row r="2">
      <c r="A2" s="3" t="s">
        <v>3</v>
      </c>
    </row>
    <row r="3">
      <c r="A3" s="4"/>
      <c r="B3" s="4"/>
      <c r="C3" s="4"/>
      <c r="D3" s="4"/>
    </row>
    <row r="4" ht="24.0" customHeight="1">
      <c r="A4" s="5" t="s">
        <v>4</v>
      </c>
    </row>
    <row r="5" ht="30.0" customHeight="1">
      <c r="A5" s="6" t="s">
        <v>8</v>
      </c>
      <c r="B5" s="6" t="s">
        <v>12</v>
      </c>
      <c r="C5" s="6" t="s">
        <v>23</v>
      </c>
      <c r="D5" s="6"/>
    </row>
    <row r="6">
      <c r="A6" s="9" t="s">
        <v>25</v>
      </c>
      <c r="B6" s="11" t="s">
        <v>27</v>
      </c>
      <c r="C6" s="11" t="s">
        <v>28</v>
      </c>
      <c r="D6" s="11"/>
    </row>
    <row r="7">
      <c r="A7" s="9" t="s">
        <v>30</v>
      </c>
      <c r="B7" s="11" t="s">
        <v>32</v>
      </c>
      <c r="C7" s="11" t="s">
        <v>33</v>
      </c>
      <c r="D7" s="11"/>
    </row>
    <row r="8">
      <c r="A8" s="9" t="s">
        <v>35</v>
      </c>
      <c r="B8" s="11" t="s">
        <v>38</v>
      </c>
      <c r="C8" s="11" t="s">
        <v>41</v>
      </c>
      <c r="D8" s="11"/>
    </row>
    <row r="9">
      <c r="A9" s="9" t="s">
        <v>45</v>
      </c>
      <c r="B9" s="11" t="s">
        <v>47</v>
      </c>
      <c r="C9" s="11" t="s">
        <v>49</v>
      </c>
      <c r="D9" s="11"/>
    </row>
    <row r="10">
      <c r="A10" s="9" t="s">
        <v>52</v>
      </c>
      <c r="B10" s="11" t="s">
        <v>55</v>
      </c>
      <c r="C10" s="11" t="s">
        <v>59</v>
      </c>
      <c r="D10" s="11"/>
    </row>
    <row r="11">
      <c r="A11" s="9" t="s">
        <v>64</v>
      </c>
      <c r="B11" s="11" t="s">
        <v>67</v>
      </c>
      <c r="C11" s="11"/>
      <c r="D11" s="11"/>
    </row>
    <row r="12">
      <c r="A12" s="9" t="s">
        <v>69</v>
      </c>
      <c r="B12" s="11" t="s">
        <v>73</v>
      </c>
      <c r="C12" s="11" t="s">
        <v>76</v>
      </c>
      <c r="D12" s="11"/>
    </row>
    <row r="13">
      <c r="A13" s="9" t="s">
        <v>81</v>
      </c>
      <c r="B13" s="11" t="s">
        <v>83</v>
      </c>
      <c r="C13" s="11" t="s">
        <v>85</v>
      </c>
      <c r="D13" s="11"/>
    </row>
    <row r="14">
      <c r="A14" s="4"/>
      <c r="B14" s="4"/>
      <c r="C14" s="4"/>
      <c r="D14" s="4"/>
    </row>
    <row r="15" ht="24.0" customHeight="1">
      <c r="A15" s="5" t="s">
        <v>94</v>
      </c>
    </row>
    <row r="16" ht="45.75" customHeight="1">
      <c r="A16" s="16" t="s">
        <v>98</v>
      </c>
    </row>
    <row r="17" ht="30.0" customHeight="1">
      <c r="A17" s="6" t="s">
        <v>7</v>
      </c>
      <c r="B17" s="6" t="s">
        <v>106</v>
      </c>
      <c r="C17" s="6"/>
      <c r="D17" s="6"/>
    </row>
    <row r="18" ht="31.5" customHeight="1">
      <c r="A18" s="10">
        <v>1.0</v>
      </c>
      <c r="B18" s="17" t="s">
        <v>115</v>
      </c>
      <c r="C18" s="20"/>
      <c r="D18" s="21"/>
    </row>
    <row r="19" ht="31.5" customHeight="1">
      <c r="A19" s="10">
        <v>2.0</v>
      </c>
      <c r="B19" s="17" t="s">
        <v>128</v>
      </c>
      <c r="C19" s="20"/>
      <c r="D19" s="21"/>
    </row>
    <row r="20" ht="31.5" customHeight="1">
      <c r="A20" s="10">
        <v>3.0</v>
      </c>
      <c r="B20" s="17" t="s">
        <v>130</v>
      </c>
      <c r="C20" s="20"/>
      <c r="D20" s="21"/>
    </row>
    <row r="21" ht="31.5" customHeight="1">
      <c r="A21" s="10">
        <v>4.0</v>
      </c>
      <c r="B21" s="17" t="s">
        <v>132</v>
      </c>
      <c r="C21" s="20"/>
      <c r="D21" s="21"/>
    </row>
    <row r="22" ht="31.5" customHeight="1">
      <c r="A22" s="10">
        <v>5.0</v>
      </c>
      <c r="B22" s="17" t="s">
        <v>134</v>
      </c>
      <c r="C22" s="20"/>
      <c r="D22" s="21"/>
    </row>
    <row r="23" ht="15.75" customHeight="1">
      <c r="A23" s="4"/>
      <c r="B23" s="4"/>
      <c r="C23" s="4"/>
      <c r="D23" s="4"/>
    </row>
    <row r="24" ht="24.0" customHeight="1">
      <c r="A24" s="5" t="s">
        <v>136</v>
      </c>
    </row>
    <row r="25" ht="85.5" customHeight="1">
      <c r="A25" s="29" t="s">
        <v>139</v>
      </c>
      <c r="B25" s="15"/>
      <c r="C25" s="15"/>
      <c r="D25" s="15"/>
    </row>
    <row r="26" ht="15.75" customHeight="1">
      <c r="A26" s="4"/>
      <c r="B26" s="4"/>
      <c r="C26" s="4"/>
      <c r="D26" s="4"/>
    </row>
    <row r="27" ht="24.0" customHeight="1">
      <c r="A27" s="5" t="s">
        <v>143</v>
      </c>
    </row>
    <row r="28" ht="30.0" customHeight="1">
      <c r="A28" s="6" t="s">
        <v>144</v>
      </c>
      <c r="B28" s="6" t="s">
        <v>146</v>
      </c>
      <c r="C28" s="6"/>
      <c r="D28" s="6" t="s">
        <v>147</v>
      </c>
    </row>
    <row r="29" ht="33.75" customHeight="1">
      <c r="A29" s="11" t="s">
        <v>148</v>
      </c>
      <c r="B29" s="17" t="s">
        <v>150</v>
      </c>
      <c r="C29" s="21"/>
      <c r="D29" s="11" t="s">
        <v>152</v>
      </c>
    </row>
    <row r="30" ht="33.75" customHeight="1">
      <c r="A30" s="11" t="s">
        <v>154</v>
      </c>
      <c r="B30" s="17" t="s">
        <v>155</v>
      </c>
      <c r="C30" s="21"/>
      <c r="D30" s="11" t="s">
        <v>157</v>
      </c>
    </row>
    <row r="31" ht="33.75" customHeight="1">
      <c r="A31" s="11" t="s">
        <v>159</v>
      </c>
      <c r="B31" s="17" t="s">
        <v>160</v>
      </c>
      <c r="C31" s="21"/>
      <c r="D31" s="11" t="s">
        <v>163</v>
      </c>
    </row>
    <row r="32" ht="33.75" customHeight="1">
      <c r="A32" s="11" t="s">
        <v>165</v>
      </c>
      <c r="B32" s="17" t="s">
        <v>166</v>
      </c>
      <c r="C32" s="21"/>
      <c r="D32" s="11" t="s">
        <v>168</v>
      </c>
    </row>
    <row r="33" ht="33.75" customHeight="1">
      <c r="A33" s="11" t="s">
        <v>170</v>
      </c>
      <c r="B33" s="17" t="s">
        <v>171</v>
      </c>
      <c r="C33" s="21"/>
      <c r="D33" s="11" t="s">
        <v>174</v>
      </c>
    </row>
    <row r="34" ht="15.75" customHeight="1">
      <c r="A34" s="4"/>
      <c r="B34" s="4"/>
      <c r="C34" s="4"/>
      <c r="D34" s="4"/>
    </row>
    <row r="35" ht="24.0" customHeight="1">
      <c r="A35" s="5" t="s">
        <v>178</v>
      </c>
    </row>
    <row r="36" ht="30.0" customHeight="1">
      <c r="A36" s="6" t="s">
        <v>180</v>
      </c>
      <c r="B36" s="6"/>
      <c r="C36" s="6" t="s">
        <v>182</v>
      </c>
      <c r="D36" s="6"/>
    </row>
    <row r="37" ht="27.75" customHeight="1">
      <c r="A37" s="35" t="s">
        <v>185</v>
      </c>
      <c r="B37" s="21"/>
      <c r="C37" s="36" t="s">
        <v>188</v>
      </c>
      <c r="D37" s="21"/>
    </row>
    <row r="38" ht="27.75" customHeight="1">
      <c r="A38" s="35" t="s">
        <v>192</v>
      </c>
      <c r="B38" s="21"/>
      <c r="C38" s="36" t="s">
        <v>194</v>
      </c>
      <c r="D38" s="21"/>
    </row>
    <row r="39" ht="27.75" customHeight="1">
      <c r="A39" s="35" t="s">
        <v>197</v>
      </c>
      <c r="B39" s="21"/>
      <c r="C39" s="36" t="s">
        <v>200</v>
      </c>
      <c r="D39" s="21"/>
    </row>
    <row r="40" ht="27.75" customHeight="1">
      <c r="A40" s="35" t="s">
        <v>202</v>
      </c>
      <c r="B40" s="21"/>
      <c r="C40" s="36" t="s">
        <v>204</v>
      </c>
      <c r="D40" s="21"/>
    </row>
    <row r="41" ht="27.75" customHeight="1">
      <c r="A41" s="35" t="s">
        <v>207</v>
      </c>
      <c r="B41" s="21"/>
      <c r="C41" s="36" t="s">
        <v>209</v>
      </c>
      <c r="D41" s="21"/>
    </row>
    <row r="42" ht="27.75" customHeight="1">
      <c r="A42" s="35" t="s">
        <v>211</v>
      </c>
      <c r="B42" s="21"/>
      <c r="C42" s="36" t="s">
        <v>213</v>
      </c>
      <c r="D42" s="21"/>
    </row>
    <row r="43" ht="27.75" customHeight="1">
      <c r="A43" s="35" t="s">
        <v>217</v>
      </c>
      <c r="B43" s="21"/>
      <c r="C43" s="36" t="s">
        <v>219</v>
      </c>
      <c r="D43" s="21"/>
    </row>
    <row r="44" ht="27.75" customHeight="1">
      <c r="A44" s="35" t="s">
        <v>222</v>
      </c>
      <c r="B44" s="21"/>
      <c r="C44" s="36" t="s">
        <v>224</v>
      </c>
      <c r="D44" s="21"/>
    </row>
    <row r="45" ht="27.75" customHeight="1">
      <c r="A45" s="35" t="s">
        <v>226</v>
      </c>
      <c r="B45" s="21"/>
      <c r="C45" s="36"/>
      <c r="D45" s="21"/>
    </row>
    <row r="46" ht="27.75" customHeight="1">
      <c r="A46" s="35" t="s">
        <v>228</v>
      </c>
      <c r="B46" s="21"/>
      <c r="C46" s="36"/>
      <c r="D46" s="21"/>
    </row>
    <row r="47" ht="27.75" customHeight="1">
      <c r="A47" s="35" t="s">
        <v>230</v>
      </c>
      <c r="B47" s="21"/>
      <c r="C47" s="36"/>
      <c r="D47" s="21"/>
    </row>
    <row r="48" ht="27.75" customHeight="1">
      <c r="A48" s="35" t="s">
        <v>232</v>
      </c>
      <c r="B48" s="21"/>
      <c r="C48" s="36"/>
      <c r="D48" s="21"/>
    </row>
    <row r="49" ht="27.75" customHeight="1">
      <c r="A49" s="35" t="s">
        <v>234</v>
      </c>
      <c r="B49" s="21"/>
      <c r="C49" s="36"/>
      <c r="D49" s="21"/>
    </row>
    <row r="50" ht="15.75" customHeight="1">
      <c r="A50" s="4"/>
      <c r="B50" s="4"/>
      <c r="C50" s="4"/>
      <c r="D50" s="4"/>
    </row>
    <row r="51" ht="24.0" customHeight="1">
      <c r="A51" s="5" t="s">
        <v>238</v>
      </c>
    </row>
    <row r="52" ht="30.0" customHeight="1">
      <c r="A52" s="6" t="s">
        <v>239</v>
      </c>
      <c r="B52" s="6" t="s">
        <v>241</v>
      </c>
      <c r="C52" s="6" t="s">
        <v>242</v>
      </c>
      <c r="D52" s="6"/>
    </row>
    <row r="53" ht="30.0" customHeight="1">
      <c r="A53" s="9" t="s">
        <v>244</v>
      </c>
      <c r="B53" s="11" t="s">
        <v>245</v>
      </c>
      <c r="C53" s="17" t="s">
        <v>247</v>
      </c>
      <c r="D53" s="21"/>
    </row>
    <row r="54" ht="30.0" customHeight="1">
      <c r="A54" s="9" t="s">
        <v>250</v>
      </c>
      <c r="B54" s="11" t="s">
        <v>251</v>
      </c>
      <c r="C54" s="17" t="s">
        <v>252</v>
      </c>
      <c r="D54" s="21"/>
    </row>
    <row r="55" ht="30.0" customHeight="1">
      <c r="A55" s="9" t="s">
        <v>254</v>
      </c>
      <c r="B55" s="11" t="s">
        <v>255</v>
      </c>
      <c r="C55" s="17" t="s">
        <v>256</v>
      </c>
      <c r="D55" s="21"/>
    </row>
    <row r="56" ht="30.0" customHeight="1">
      <c r="A56" s="9" t="s">
        <v>258</v>
      </c>
      <c r="B56" s="11" t="s">
        <v>259</v>
      </c>
      <c r="C56" s="17" t="s">
        <v>261</v>
      </c>
      <c r="D56" s="21"/>
    </row>
    <row r="57" ht="30.0" customHeight="1">
      <c r="A57" s="9" t="s">
        <v>263</v>
      </c>
      <c r="B57" s="11" t="s">
        <v>264</v>
      </c>
      <c r="C57" s="17" t="s">
        <v>266</v>
      </c>
      <c r="D57" s="21"/>
    </row>
    <row r="58" ht="30.0" customHeight="1">
      <c r="A58" s="9" t="s">
        <v>267</v>
      </c>
      <c r="B58" s="11" t="s">
        <v>268</v>
      </c>
      <c r="C58" s="17" t="s">
        <v>270</v>
      </c>
      <c r="D58" s="21"/>
    </row>
    <row r="59" ht="15.75" customHeight="1">
      <c r="A59" s="4"/>
      <c r="B59" s="4"/>
      <c r="C59" s="4"/>
      <c r="D59" s="4"/>
    </row>
    <row r="60" ht="24.0" customHeight="1">
      <c r="A60" s="5" t="s">
        <v>272</v>
      </c>
    </row>
    <row r="61" ht="30.0" customHeight="1">
      <c r="A61" s="6" t="s">
        <v>274</v>
      </c>
      <c r="B61" s="6" t="s">
        <v>275</v>
      </c>
      <c r="C61" s="6"/>
      <c r="D61" s="6"/>
    </row>
    <row r="62" ht="30.0" customHeight="1">
      <c r="A62" s="9" t="s">
        <v>277</v>
      </c>
      <c r="B62" s="17" t="s">
        <v>278</v>
      </c>
      <c r="C62" s="20"/>
      <c r="D62" s="21"/>
    </row>
    <row r="63" ht="30.0" customHeight="1">
      <c r="A63" s="9" t="s">
        <v>280</v>
      </c>
      <c r="B63" s="17" t="s">
        <v>281</v>
      </c>
      <c r="C63" s="20"/>
      <c r="D63" s="21"/>
    </row>
    <row r="64" ht="30.0" customHeight="1">
      <c r="A64" s="9" t="s">
        <v>283</v>
      </c>
      <c r="B64" s="17" t="s">
        <v>285</v>
      </c>
      <c r="C64" s="20"/>
      <c r="D64" s="21"/>
    </row>
    <row r="65" ht="30.0" customHeight="1">
      <c r="A65" s="9" t="s">
        <v>287</v>
      </c>
      <c r="B65" s="17" t="s">
        <v>288</v>
      </c>
      <c r="C65" s="20"/>
      <c r="D65" s="21"/>
    </row>
    <row r="66" ht="30.0" customHeight="1">
      <c r="A66" s="9" t="s">
        <v>290</v>
      </c>
      <c r="B66" s="17" t="s">
        <v>291</v>
      </c>
      <c r="C66" s="20"/>
      <c r="D66" s="21"/>
    </row>
    <row r="67" ht="30.0" customHeight="1">
      <c r="A67" s="9" t="s">
        <v>294</v>
      </c>
      <c r="B67" s="17" t="s">
        <v>295</v>
      </c>
      <c r="C67" s="20"/>
      <c r="D67" s="21"/>
    </row>
    <row r="68" ht="15.75" customHeight="1">
      <c r="A68" s="4"/>
      <c r="B68" s="4"/>
      <c r="C68" s="4"/>
      <c r="D68" s="4"/>
    </row>
    <row r="69" ht="24.0" customHeight="1">
      <c r="A69" s="5" t="s">
        <v>296</v>
      </c>
    </row>
    <row r="70" ht="30.0" customHeight="1">
      <c r="A70" s="6" t="s">
        <v>7</v>
      </c>
      <c r="B70" s="6" t="s">
        <v>298</v>
      </c>
      <c r="C70" s="6"/>
      <c r="D70" s="6" t="s">
        <v>300</v>
      </c>
    </row>
    <row r="71" ht="33.75" customHeight="1">
      <c r="A71" s="10">
        <v>1.0</v>
      </c>
      <c r="B71" s="31" t="s">
        <v>302</v>
      </c>
      <c r="C71" s="21"/>
      <c r="D71" s="11" t="s">
        <v>304</v>
      </c>
    </row>
    <row r="72" ht="33.75" customHeight="1">
      <c r="A72" s="10">
        <v>2.0</v>
      </c>
      <c r="B72" s="31" t="s">
        <v>305</v>
      </c>
      <c r="C72" s="21"/>
      <c r="D72" s="11" t="s">
        <v>308</v>
      </c>
    </row>
    <row r="73" ht="33.75" customHeight="1">
      <c r="A73" s="10">
        <v>3.0</v>
      </c>
      <c r="B73" s="31" t="s">
        <v>309</v>
      </c>
      <c r="C73" s="21"/>
      <c r="D73" s="11" t="s">
        <v>311</v>
      </c>
    </row>
    <row r="74" ht="33.75" customHeight="1">
      <c r="A74" s="10">
        <v>4.0</v>
      </c>
      <c r="B74" s="31" t="s">
        <v>313</v>
      </c>
      <c r="C74" s="21"/>
      <c r="D74" s="11" t="s">
        <v>315</v>
      </c>
    </row>
    <row r="75" ht="33.75" customHeight="1">
      <c r="A75" s="10">
        <v>5.0</v>
      </c>
      <c r="B75" s="31" t="s">
        <v>316</v>
      </c>
      <c r="C75" s="21"/>
      <c r="D75" s="11" t="s">
        <v>318</v>
      </c>
    </row>
    <row r="76" ht="33.75" customHeight="1">
      <c r="A76" s="10">
        <v>6.0</v>
      </c>
      <c r="B76" s="31" t="s">
        <v>319</v>
      </c>
      <c r="C76" s="21"/>
      <c r="D76" s="11" t="s">
        <v>320</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A48:B48"/>
    <mergeCell ref="A49:B49"/>
    <mergeCell ref="A51:D51"/>
    <mergeCell ref="C53:D53"/>
    <mergeCell ref="C54:D54"/>
    <mergeCell ref="C55:D55"/>
    <mergeCell ref="C56:D56"/>
    <mergeCell ref="C57:D57"/>
    <mergeCell ref="C58:D58"/>
    <mergeCell ref="A60:D60"/>
    <mergeCell ref="B62:D62"/>
    <mergeCell ref="B63:D63"/>
    <mergeCell ref="B64:D64"/>
    <mergeCell ref="B65:D65"/>
    <mergeCell ref="A1:D1"/>
    <mergeCell ref="A2:D2"/>
    <mergeCell ref="A4:D4"/>
    <mergeCell ref="A15:D15"/>
    <mergeCell ref="A16:D16"/>
    <mergeCell ref="B18:D18"/>
    <mergeCell ref="B19:D19"/>
    <mergeCell ref="B20:D20"/>
    <mergeCell ref="B21:D21"/>
    <mergeCell ref="B22:D22"/>
    <mergeCell ref="A24:D24"/>
    <mergeCell ref="A25:D25"/>
    <mergeCell ref="A27:D27"/>
    <mergeCell ref="B29:C29"/>
    <mergeCell ref="B30:C30"/>
    <mergeCell ref="B31:C31"/>
    <mergeCell ref="B32:C32"/>
    <mergeCell ref="B33:C33"/>
    <mergeCell ref="A35:D35"/>
    <mergeCell ref="A37:B37"/>
    <mergeCell ref="C37:D37"/>
    <mergeCell ref="C42:D42"/>
    <mergeCell ref="C43:D43"/>
    <mergeCell ref="C44:D44"/>
    <mergeCell ref="C45:D45"/>
    <mergeCell ref="C46:D46"/>
    <mergeCell ref="C47:D47"/>
    <mergeCell ref="C48:D48"/>
    <mergeCell ref="C49:D49"/>
    <mergeCell ref="A38:B38"/>
    <mergeCell ref="C38:D38"/>
    <mergeCell ref="A39:B39"/>
    <mergeCell ref="C39:D39"/>
    <mergeCell ref="A40:B40"/>
    <mergeCell ref="C40:D40"/>
    <mergeCell ref="C41:D41"/>
    <mergeCell ref="A41:B41"/>
    <mergeCell ref="A42:B42"/>
    <mergeCell ref="A43:B43"/>
    <mergeCell ref="A44:B44"/>
    <mergeCell ref="A45:B45"/>
    <mergeCell ref="A46:B46"/>
    <mergeCell ref="A47:B47"/>
    <mergeCell ref="B75:C75"/>
    <mergeCell ref="B76:C76"/>
    <mergeCell ref="B66:D66"/>
    <mergeCell ref="B67:D67"/>
    <mergeCell ref="A69:D69"/>
    <mergeCell ref="B71:C71"/>
    <mergeCell ref="B72:C72"/>
    <mergeCell ref="B73:C73"/>
    <mergeCell ref="B74:C74"/>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6B6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22.0"/>
    <col customWidth="1" min="3" max="3" width="16.0"/>
    <col customWidth="1" min="4" max="4" width="38.0"/>
    <col customWidth="1" min="5" max="5" width="52.0"/>
    <col customWidth="1" min="6" max="8" width="12.0"/>
    <col customWidth="1" min="9" max="26" width="8.71"/>
  </cols>
  <sheetData>
    <row r="1" ht="25.5" customHeight="1">
      <c r="A1" s="2" t="s">
        <v>1</v>
      </c>
      <c r="F1" s="4"/>
      <c r="G1" s="4"/>
      <c r="H1" s="4"/>
    </row>
    <row r="2">
      <c r="A2" s="4"/>
      <c r="B2" s="4"/>
      <c r="C2" s="4"/>
      <c r="D2" s="4"/>
      <c r="E2" s="4"/>
      <c r="F2" s="4"/>
      <c r="G2" s="4"/>
      <c r="H2" s="4"/>
    </row>
    <row r="3" ht="30.0" customHeight="1">
      <c r="A3" s="6" t="s">
        <v>7</v>
      </c>
      <c r="B3" s="6" t="s">
        <v>14</v>
      </c>
      <c r="C3" s="6" t="s">
        <v>17</v>
      </c>
      <c r="D3" s="6" t="s">
        <v>19</v>
      </c>
      <c r="E3" s="6" t="s">
        <v>21</v>
      </c>
      <c r="F3" s="4"/>
      <c r="G3" s="4"/>
      <c r="H3" s="4"/>
    </row>
    <row r="4" ht="33.75" customHeight="1">
      <c r="A4" s="10">
        <v>1.0</v>
      </c>
      <c r="B4" s="9" t="s">
        <v>26</v>
      </c>
      <c r="C4" s="12" t="s">
        <v>29</v>
      </c>
      <c r="D4" s="11" t="s">
        <v>36</v>
      </c>
      <c r="E4" s="11" t="s">
        <v>40</v>
      </c>
      <c r="F4" s="4"/>
      <c r="G4" s="4"/>
      <c r="H4" s="4"/>
    </row>
    <row r="5" ht="33.75" customHeight="1">
      <c r="A5" s="10">
        <v>2.0</v>
      </c>
      <c r="B5" s="9" t="s">
        <v>56</v>
      </c>
      <c r="C5" s="12" t="s">
        <v>60</v>
      </c>
      <c r="D5" s="11" t="s">
        <v>62</v>
      </c>
      <c r="E5" s="11" t="s">
        <v>66</v>
      </c>
      <c r="F5" s="4"/>
      <c r="G5" s="4"/>
      <c r="H5" s="4"/>
    </row>
    <row r="6" ht="33.75" customHeight="1">
      <c r="A6" s="10">
        <v>3.0</v>
      </c>
      <c r="B6" s="9" t="s">
        <v>71</v>
      </c>
      <c r="C6" s="12" t="s">
        <v>74</v>
      </c>
      <c r="D6" s="11" t="s">
        <v>78</v>
      </c>
      <c r="E6" s="11" t="s">
        <v>80</v>
      </c>
      <c r="F6" s="4"/>
      <c r="G6" s="4"/>
      <c r="H6" s="4"/>
    </row>
    <row r="7" ht="33.75" customHeight="1">
      <c r="A7" s="10">
        <v>4.0</v>
      </c>
      <c r="B7" s="9" t="s">
        <v>88</v>
      </c>
      <c r="C7" s="12" t="s">
        <v>89</v>
      </c>
      <c r="D7" s="11" t="s">
        <v>91</v>
      </c>
      <c r="E7" s="11" t="s">
        <v>92</v>
      </c>
      <c r="F7" s="4"/>
      <c r="G7" s="4"/>
      <c r="H7" s="4"/>
    </row>
    <row r="8" ht="33.75" customHeight="1">
      <c r="A8" s="10">
        <v>5.0</v>
      </c>
      <c r="B8" s="9" t="s">
        <v>97</v>
      </c>
      <c r="C8" s="12" t="s">
        <v>99</v>
      </c>
      <c r="D8" s="11" t="s">
        <v>101</v>
      </c>
      <c r="E8" s="11" t="s">
        <v>102</v>
      </c>
      <c r="F8" s="4"/>
      <c r="G8" s="4"/>
      <c r="H8" s="4"/>
    </row>
    <row r="9" ht="33.75" customHeight="1">
      <c r="A9" s="10">
        <v>6.0</v>
      </c>
      <c r="B9" s="9" t="s">
        <v>107</v>
      </c>
      <c r="C9" s="12" t="s">
        <v>108</v>
      </c>
      <c r="D9" s="11" t="s">
        <v>110</v>
      </c>
      <c r="E9" s="11" t="s">
        <v>111</v>
      </c>
      <c r="F9" s="4"/>
      <c r="G9" s="4"/>
      <c r="H9" s="4"/>
    </row>
    <row r="10" ht="33.75" customHeight="1">
      <c r="A10" s="10">
        <v>7.0</v>
      </c>
      <c r="B10" s="9" t="s">
        <v>116</v>
      </c>
      <c r="C10" s="12" t="s">
        <v>117</v>
      </c>
      <c r="D10" s="11" t="s">
        <v>120</v>
      </c>
      <c r="E10" s="11" t="s">
        <v>121</v>
      </c>
      <c r="F10" s="4"/>
      <c r="G10" s="4"/>
      <c r="H10" s="4"/>
    </row>
    <row r="11" ht="33.75" customHeight="1">
      <c r="A11" s="10">
        <v>8.0</v>
      </c>
      <c r="B11" s="9" t="s">
        <v>123</v>
      </c>
      <c r="C11" s="12" t="s">
        <v>124</v>
      </c>
      <c r="D11" s="11" t="s">
        <v>125</v>
      </c>
      <c r="E11" s="11" t="s">
        <v>126</v>
      </c>
      <c r="F11" s="4"/>
      <c r="G11" s="4"/>
      <c r="H11" s="4"/>
    </row>
    <row r="12">
      <c r="A12" s="4"/>
      <c r="B12" s="4"/>
      <c r="C12" s="4"/>
      <c r="D12" s="4"/>
      <c r="E12" s="4"/>
      <c r="F12" s="4"/>
      <c r="G12" s="4"/>
      <c r="H12" s="4"/>
    </row>
    <row r="13">
      <c r="A13" s="4"/>
      <c r="B13" s="4"/>
      <c r="C13" s="4"/>
      <c r="D13" s="4"/>
      <c r="E13" s="4"/>
      <c r="F13" s="4"/>
      <c r="G13" s="4"/>
      <c r="H13" s="4"/>
    </row>
    <row r="14" ht="24.0" customHeight="1">
      <c r="A14" s="5" t="s">
        <v>129</v>
      </c>
    </row>
    <row r="15" ht="25.5" customHeight="1">
      <c r="A15" s="23" t="s">
        <v>131</v>
      </c>
    </row>
    <row r="16" ht="30.0" customHeight="1">
      <c r="A16" s="25" t="s">
        <v>133</v>
      </c>
      <c r="B16" s="21"/>
      <c r="C16" s="6" t="s">
        <v>60</v>
      </c>
      <c r="D16" s="6" t="s">
        <v>89</v>
      </c>
      <c r="E16" s="6" t="s">
        <v>74</v>
      </c>
      <c r="F16" s="6" t="s">
        <v>108</v>
      </c>
      <c r="G16" s="6" t="s">
        <v>117</v>
      </c>
      <c r="H16" s="6" t="s">
        <v>140</v>
      </c>
    </row>
    <row r="17" ht="19.5" customHeight="1">
      <c r="A17" s="31" t="s">
        <v>142</v>
      </c>
      <c r="B17" s="21"/>
      <c r="C17" s="10" t="s">
        <v>145</v>
      </c>
      <c r="D17" s="10" t="s">
        <v>145</v>
      </c>
      <c r="E17" s="10" t="s">
        <v>145</v>
      </c>
      <c r="F17" s="10" t="s">
        <v>145</v>
      </c>
      <c r="G17" s="32" t="s">
        <v>149</v>
      </c>
      <c r="H17" s="33" t="s">
        <v>151</v>
      </c>
    </row>
    <row r="18" ht="19.5" customHeight="1">
      <c r="A18" s="31" t="s">
        <v>153</v>
      </c>
      <c r="B18" s="21"/>
      <c r="C18" s="32" t="s">
        <v>149</v>
      </c>
      <c r="D18" s="32" t="s">
        <v>149</v>
      </c>
      <c r="E18" s="32" t="s">
        <v>149</v>
      </c>
      <c r="F18" s="33" t="s">
        <v>151</v>
      </c>
      <c r="G18" s="10" t="s">
        <v>145</v>
      </c>
      <c r="H18" s="10" t="s">
        <v>145</v>
      </c>
    </row>
    <row r="19" ht="19.5" customHeight="1">
      <c r="A19" s="31" t="s">
        <v>162</v>
      </c>
      <c r="B19" s="21"/>
      <c r="C19" s="34" t="s">
        <v>167</v>
      </c>
      <c r="D19" s="10" t="s">
        <v>145</v>
      </c>
      <c r="E19" s="10" t="s">
        <v>145</v>
      </c>
      <c r="F19" s="34" t="s">
        <v>172</v>
      </c>
      <c r="G19" s="10" t="s">
        <v>145</v>
      </c>
      <c r="H19" s="33" t="s">
        <v>151</v>
      </c>
    </row>
    <row r="20" ht="19.5" customHeight="1">
      <c r="A20" s="31" t="s">
        <v>175</v>
      </c>
      <c r="B20" s="21"/>
      <c r="C20" s="10" t="s">
        <v>177</v>
      </c>
      <c r="D20" s="10" t="s">
        <v>145</v>
      </c>
      <c r="E20" s="10" t="s">
        <v>145</v>
      </c>
      <c r="F20" s="10" t="s">
        <v>145</v>
      </c>
      <c r="G20" s="32" t="s">
        <v>149</v>
      </c>
      <c r="H20" s="33" t="s">
        <v>151</v>
      </c>
    </row>
    <row r="21" ht="19.5" customHeight="1">
      <c r="A21" s="31" t="s">
        <v>181</v>
      </c>
      <c r="B21" s="21"/>
      <c r="C21" s="10" t="s">
        <v>177</v>
      </c>
      <c r="D21" s="34" t="s">
        <v>172</v>
      </c>
      <c r="E21" s="34" t="s">
        <v>172</v>
      </c>
      <c r="F21" s="32" t="s">
        <v>149</v>
      </c>
      <c r="G21" s="32" t="s">
        <v>149</v>
      </c>
      <c r="H21" s="33" t="s">
        <v>151</v>
      </c>
    </row>
    <row r="22" ht="19.5" customHeight="1">
      <c r="A22" s="31" t="s">
        <v>186</v>
      </c>
      <c r="B22" s="21"/>
      <c r="C22" s="10" t="s">
        <v>177</v>
      </c>
      <c r="D22" s="34" t="s">
        <v>167</v>
      </c>
      <c r="E22" s="34" t="s">
        <v>167</v>
      </c>
      <c r="F22" s="32" t="s">
        <v>149</v>
      </c>
      <c r="G22" s="32" t="s">
        <v>149</v>
      </c>
      <c r="H22" s="33" t="s">
        <v>151</v>
      </c>
    </row>
    <row r="23" ht="19.5" customHeight="1">
      <c r="A23" s="31" t="s">
        <v>191</v>
      </c>
      <c r="B23" s="21"/>
      <c r="C23" s="34" t="s">
        <v>167</v>
      </c>
      <c r="D23" s="34" t="s">
        <v>172</v>
      </c>
      <c r="E23" s="33" t="s">
        <v>151</v>
      </c>
      <c r="F23" s="32" t="s">
        <v>149</v>
      </c>
      <c r="G23" s="32" t="s">
        <v>149</v>
      </c>
      <c r="H23" s="10" t="s">
        <v>145</v>
      </c>
    </row>
    <row r="24" ht="19.5" customHeight="1">
      <c r="A24" s="31" t="s">
        <v>195</v>
      </c>
      <c r="B24" s="21"/>
      <c r="C24" s="10" t="s">
        <v>177</v>
      </c>
      <c r="D24" s="10" t="s">
        <v>145</v>
      </c>
      <c r="E24" s="34" t="s">
        <v>172</v>
      </c>
      <c r="F24" s="32" t="s">
        <v>149</v>
      </c>
      <c r="G24" s="32" t="s">
        <v>149</v>
      </c>
      <c r="H24" s="33" t="s">
        <v>151</v>
      </c>
    </row>
    <row r="25" ht="19.5" customHeight="1">
      <c r="A25" s="31" t="s">
        <v>199</v>
      </c>
      <c r="B25" s="21"/>
      <c r="C25" s="10" t="s">
        <v>177</v>
      </c>
      <c r="D25" s="32" t="s">
        <v>149</v>
      </c>
      <c r="E25" s="32" t="s">
        <v>149</v>
      </c>
      <c r="F25" s="10" t="s">
        <v>145</v>
      </c>
      <c r="G25" s="33" t="s">
        <v>151</v>
      </c>
      <c r="H25" s="10" t="s">
        <v>145</v>
      </c>
    </row>
    <row r="26" ht="19.5" customHeight="1">
      <c r="A26" s="31" t="s">
        <v>206</v>
      </c>
      <c r="B26" s="21"/>
      <c r="C26" s="34" t="s">
        <v>167</v>
      </c>
      <c r="D26" s="32" t="s">
        <v>149</v>
      </c>
      <c r="E26" s="10" t="s">
        <v>177</v>
      </c>
      <c r="F26" s="32" t="s">
        <v>149</v>
      </c>
      <c r="G26" s="32" t="s">
        <v>149</v>
      </c>
      <c r="H26" s="33" t="s">
        <v>151</v>
      </c>
    </row>
    <row r="27" ht="19.5" customHeight="1">
      <c r="A27" s="31" t="s">
        <v>210</v>
      </c>
      <c r="B27" s="21"/>
      <c r="C27" s="32" t="s">
        <v>149</v>
      </c>
      <c r="D27" s="32" t="s">
        <v>149</v>
      </c>
      <c r="E27" s="10" t="s">
        <v>177</v>
      </c>
      <c r="F27" s="10" t="s">
        <v>177</v>
      </c>
      <c r="G27" s="10" t="s">
        <v>177</v>
      </c>
      <c r="H27" s="33" t="s">
        <v>151</v>
      </c>
    </row>
    <row r="28" ht="19.5" customHeight="1">
      <c r="A28" s="31" t="s">
        <v>216</v>
      </c>
      <c r="B28" s="21"/>
      <c r="C28" s="32" t="s">
        <v>149</v>
      </c>
      <c r="D28" s="32" t="s">
        <v>149</v>
      </c>
      <c r="E28" s="32" t="s">
        <v>149</v>
      </c>
      <c r="F28" s="32" t="s">
        <v>149</v>
      </c>
      <c r="G28" s="32" t="s">
        <v>149</v>
      </c>
      <c r="H28" s="10" t="s">
        <v>145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E1"/>
    <mergeCell ref="A14:H14"/>
    <mergeCell ref="A15:H15"/>
    <mergeCell ref="A16:B16"/>
    <mergeCell ref="A17:B17"/>
    <mergeCell ref="A18:B18"/>
    <mergeCell ref="A19:B19"/>
    <mergeCell ref="A27:B27"/>
    <mergeCell ref="A28:B28"/>
    <mergeCell ref="A20:B20"/>
    <mergeCell ref="A21:B21"/>
    <mergeCell ref="A22:B22"/>
    <mergeCell ref="A23:B23"/>
    <mergeCell ref="A24:B24"/>
    <mergeCell ref="A25:B25"/>
    <mergeCell ref="A26:B2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6B6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10.0"/>
    <col customWidth="1" min="2" max="2" width="34.0"/>
    <col customWidth="1" min="3" max="3" width="62.0"/>
    <col customWidth="1" min="4" max="5" width="10.0"/>
    <col customWidth="1" min="6" max="6" width="14.0"/>
    <col customWidth="1" min="7" max="7" width="10.0"/>
    <col customWidth="1" min="8" max="26" width="8.71"/>
  </cols>
  <sheetData>
    <row r="1" ht="25.5" customHeight="1">
      <c r="A1" s="2" t="s">
        <v>2</v>
      </c>
      <c r="G1" s="4"/>
    </row>
    <row r="2">
      <c r="A2" s="4"/>
      <c r="B2" s="4"/>
      <c r="C2" s="4"/>
      <c r="D2" s="4"/>
      <c r="E2" s="4"/>
      <c r="F2" s="4"/>
      <c r="G2" s="4"/>
    </row>
    <row r="3" ht="30.0" customHeight="1">
      <c r="A3" s="6" t="s">
        <v>6</v>
      </c>
      <c r="B3" s="6" t="s">
        <v>10</v>
      </c>
      <c r="C3" s="6" t="s">
        <v>11</v>
      </c>
      <c r="D3" s="6" t="s">
        <v>13</v>
      </c>
      <c r="E3" s="6" t="s">
        <v>15</v>
      </c>
      <c r="F3" s="6" t="s">
        <v>16</v>
      </c>
      <c r="G3" s="6" t="s">
        <v>18</v>
      </c>
    </row>
    <row r="4" ht="39.75" customHeight="1">
      <c r="A4" s="8" t="s">
        <v>20</v>
      </c>
      <c r="B4" s="9" t="s">
        <v>22</v>
      </c>
      <c r="C4" s="11" t="s">
        <v>24</v>
      </c>
      <c r="D4" s="10">
        <v>55.0</v>
      </c>
      <c r="E4" s="13">
        <v>0.1571428571428571</v>
      </c>
      <c r="F4" s="10" t="s">
        <v>34</v>
      </c>
      <c r="G4" s="10">
        <v>14.0</v>
      </c>
    </row>
    <row r="5" ht="39.75" customHeight="1">
      <c r="A5" s="8" t="s">
        <v>39</v>
      </c>
      <c r="B5" s="9" t="s">
        <v>42</v>
      </c>
      <c r="C5" s="11" t="s">
        <v>44</v>
      </c>
      <c r="D5" s="10">
        <v>20.0</v>
      </c>
      <c r="E5" s="13">
        <v>0.05714285714285714</v>
      </c>
      <c r="F5" s="10" t="s">
        <v>48</v>
      </c>
      <c r="G5" s="10">
        <v>4.0</v>
      </c>
    </row>
    <row r="6" ht="39.75" customHeight="1">
      <c r="A6" s="8" t="s">
        <v>50</v>
      </c>
      <c r="B6" s="9" t="s">
        <v>51</v>
      </c>
      <c r="C6" s="11" t="s">
        <v>54</v>
      </c>
      <c r="D6" s="10">
        <v>44.0</v>
      </c>
      <c r="E6" s="13">
        <v>0.1257142857142857</v>
      </c>
      <c r="F6" s="10" t="s">
        <v>58</v>
      </c>
      <c r="G6" s="10">
        <v>10.0</v>
      </c>
    </row>
    <row r="7" ht="39.75" customHeight="1">
      <c r="A7" s="8" t="s">
        <v>63</v>
      </c>
      <c r="B7" s="9" t="s">
        <v>65</v>
      </c>
      <c r="C7" s="11" t="s">
        <v>68</v>
      </c>
      <c r="D7" s="10">
        <v>43.0</v>
      </c>
      <c r="E7" s="13">
        <v>0.1228571428571429</v>
      </c>
      <c r="F7" s="10" t="s">
        <v>70</v>
      </c>
      <c r="G7" s="10">
        <v>9.0</v>
      </c>
    </row>
    <row r="8" ht="39.75" customHeight="1">
      <c r="A8" s="8" t="s">
        <v>75</v>
      </c>
      <c r="B8" s="9" t="s">
        <v>77</v>
      </c>
      <c r="C8" s="11" t="s">
        <v>79</v>
      </c>
      <c r="D8" s="10">
        <v>27.0</v>
      </c>
      <c r="E8" s="13">
        <v>0.07714285714285714</v>
      </c>
      <c r="F8" s="10" t="s">
        <v>82</v>
      </c>
      <c r="G8" s="10">
        <v>6.0</v>
      </c>
    </row>
    <row r="9" ht="39.75" customHeight="1">
      <c r="A9" s="8" t="s">
        <v>84</v>
      </c>
      <c r="B9" s="9" t="s">
        <v>86</v>
      </c>
      <c r="C9" s="11" t="s">
        <v>87</v>
      </c>
      <c r="D9" s="10">
        <v>53.0</v>
      </c>
      <c r="E9" s="13">
        <v>0.1514285714285714</v>
      </c>
      <c r="F9" s="10" t="s">
        <v>90</v>
      </c>
      <c r="G9" s="10">
        <v>10.0</v>
      </c>
    </row>
    <row r="10" ht="39.75" customHeight="1">
      <c r="A10" s="8" t="s">
        <v>93</v>
      </c>
      <c r="B10" s="9" t="s">
        <v>95</v>
      </c>
      <c r="C10" s="11" t="s">
        <v>96</v>
      </c>
      <c r="D10" s="10">
        <v>23.0</v>
      </c>
      <c r="E10" s="13">
        <v>0.06571428571428571</v>
      </c>
      <c r="F10" s="10" t="s">
        <v>100</v>
      </c>
      <c r="G10" s="10">
        <v>4.0</v>
      </c>
    </row>
    <row r="11" ht="39.75" customHeight="1">
      <c r="A11" s="8" t="s">
        <v>103</v>
      </c>
      <c r="B11" s="9" t="s">
        <v>104</v>
      </c>
      <c r="C11" s="11" t="s">
        <v>105</v>
      </c>
      <c r="D11" s="10">
        <v>44.0</v>
      </c>
      <c r="E11" s="13">
        <v>0.1257142857142857</v>
      </c>
      <c r="F11" s="10" t="s">
        <v>109</v>
      </c>
      <c r="G11" s="10">
        <v>8.0</v>
      </c>
    </row>
    <row r="12" ht="39.75" customHeight="1">
      <c r="A12" s="8" t="s">
        <v>112</v>
      </c>
      <c r="B12" s="9" t="s">
        <v>113</v>
      </c>
      <c r="C12" s="11" t="s">
        <v>114</v>
      </c>
      <c r="D12" s="10">
        <v>41.0</v>
      </c>
      <c r="E12" s="13">
        <v>0.1171428571428571</v>
      </c>
      <c r="F12" s="10" t="s">
        <v>118</v>
      </c>
      <c r="G12" s="10">
        <v>10.0</v>
      </c>
    </row>
    <row r="13">
      <c r="A13" s="19" t="s">
        <v>122</v>
      </c>
      <c r="B13" s="20"/>
      <c r="C13" s="21"/>
      <c r="D13" s="26">
        <f>SUM(D4:D12)</f>
        <v>350</v>
      </c>
      <c r="E13" s="27">
        <v>1.0</v>
      </c>
      <c r="F13" s="28"/>
      <c r="G13" s="26">
        <f>SUM(G4:G12)</f>
        <v>75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13:C13"/>
  </mergeCells>
  <conditionalFormatting sqref="D4:D12">
    <cfRule type="cellIs" dxfId="0" priority="1" operator="greaterThan">
      <formula>50</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6B6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8.0"/>
    <col customWidth="1" min="3" max="3" width="9.0"/>
    <col customWidth="1" min="4" max="4" width="16.0"/>
    <col customWidth="1" min="5" max="5" width="46.0"/>
    <col customWidth="1" min="6" max="6" width="62.0"/>
    <col customWidth="1" min="7" max="8" width="9.0"/>
    <col customWidth="1" min="9" max="9" width="13.0"/>
    <col customWidth="1" min="10" max="10" width="22.0"/>
    <col customWidth="1" min="11" max="26" width="8.71"/>
  </cols>
  <sheetData>
    <row r="1" ht="25.5" customHeight="1">
      <c r="A1" s="2" t="s">
        <v>5</v>
      </c>
    </row>
    <row r="2">
      <c r="A2" s="7" t="s">
        <v>9</v>
      </c>
    </row>
    <row r="3">
      <c r="A3" s="4"/>
      <c r="B3" s="4"/>
      <c r="C3" s="4"/>
      <c r="D3" s="4"/>
      <c r="E3" s="4"/>
      <c r="F3" s="4"/>
      <c r="G3" s="4"/>
      <c r="H3" s="4"/>
      <c r="I3" s="4"/>
      <c r="J3" s="4"/>
    </row>
    <row r="4" ht="30.0" customHeight="1">
      <c r="A4" s="6" t="s">
        <v>31</v>
      </c>
      <c r="B4" s="6" t="s">
        <v>16</v>
      </c>
      <c r="C4" s="6" t="s">
        <v>37</v>
      </c>
      <c r="D4" s="6" t="s">
        <v>14</v>
      </c>
      <c r="E4" s="6" t="s">
        <v>43</v>
      </c>
      <c r="F4" s="6" t="s">
        <v>46</v>
      </c>
      <c r="G4" s="6" t="s">
        <v>13</v>
      </c>
      <c r="H4" s="6" t="s">
        <v>53</v>
      </c>
      <c r="I4" s="6" t="s">
        <v>57</v>
      </c>
      <c r="J4" s="6" t="s">
        <v>61</v>
      </c>
    </row>
    <row r="5" ht="21.75" customHeight="1">
      <c r="A5" s="14" t="s">
        <v>72</v>
      </c>
      <c r="B5" s="15"/>
      <c r="C5" s="15"/>
      <c r="D5" s="15"/>
      <c r="E5" s="15"/>
      <c r="F5" s="15"/>
      <c r="G5" s="15"/>
      <c r="H5" s="15"/>
      <c r="I5" s="15"/>
      <c r="J5" s="15"/>
    </row>
    <row r="6" ht="25.5" customHeight="1">
      <c r="A6" s="18" t="s">
        <v>119</v>
      </c>
      <c r="B6" s="15"/>
      <c r="C6" s="15"/>
      <c r="D6" s="15"/>
      <c r="E6" s="15"/>
      <c r="F6" s="15"/>
      <c r="G6" s="15"/>
      <c r="H6" s="15"/>
      <c r="I6" s="15"/>
      <c r="J6" s="15"/>
    </row>
    <row r="7">
      <c r="A7" s="22" t="s">
        <v>127</v>
      </c>
      <c r="B7" s="10">
        <v>1.0</v>
      </c>
      <c r="C7" s="24" t="s">
        <v>20</v>
      </c>
      <c r="D7" s="11" t="s">
        <v>135</v>
      </c>
      <c r="E7" s="9" t="s">
        <v>137</v>
      </c>
      <c r="F7" s="11" t="s">
        <v>138</v>
      </c>
      <c r="G7" s="10">
        <v>5.0</v>
      </c>
      <c r="H7" s="30" t="s">
        <v>141</v>
      </c>
      <c r="I7" s="11" t="s">
        <v>156</v>
      </c>
      <c r="J7" s="11"/>
    </row>
    <row r="8">
      <c r="A8" s="22" t="s">
        <v>158</v>
      </c>
      <c r="B8" s="10">
        <v>1.0</v>
      </c>
      <c r="C8" s="24" t="s">
        <v>20</v>
      </c>
      <c r="D8" s="11" t="s">
        <v>135</v>
      </c>
      <c r="E8" s="9" t="s">
        <v>161</v>
      </c>
      <c r="F8" s="11" t="s">
        <v>164</v>
      </c>
      <c r="G8" s="10">
        <v>3.0</v>
      </c>
      <c r="H8" s="30" t="s">
        <v>141</v>
      </c>
      <c r="I8" s="11" t="s">
        <v>156</v>
      </c>
      <c r="J8" s="11"/>
    </row>
    <row r="9">
      <c r="A9" s="22" t="s">
        <v>169</v>
      </c>
      <c r="B9" s="10">
        <v>1.0</v>
      </c>
      <c r="C9" s="24" t="s">
        <v>20</v>
      </c>
      <c r="D9" s="11" t="s">
        <v>135</v>
      </c>
      <c r="E9" s="9" t="s">
        <v>173</v>
      </c>
      <c r="F9" s="11" t="s">
        <v>176</v>
      </c>
      <c r="G9" s="10">
        <v>5.0</v>
      </c>
      <c r="H9" s="30" t="s">
        <v>141</v>
      </c>
      <c r="I9" s="11" t="s">
        <v>156</v>
      </c>
      <c r="J9" s="11"/>
    </row>
    <row r="10">
      <c r="A10" s="22" t="s">
        <v>179</v>
      </c>
      <c r="B10" s="10">
        <v>1.0</v>
      </c>
      <c r="C10" s="24" t="s">
        <v>20</v>
      </c>
      <c r="D10" s="11" t="s">
        <v>135</v>
      </c>
      <c r="E10" s="9" t="s">
        <v>183</v>
      </c>
      <c r="F10" s="11" t="s">
        <v>184</v>
      </c>
      <c r="G10" s="10">
        <v>2.0</v>
      </c>
      <c r="H10" s="30" t="s">
        <v>141</v>
      </c>
      <c r="I10" s="11" t="s">
        <v>156</v>
      </c>
      <c r="J10" s="11"/>
    </row>
    <row r="11">
      <c r="A11" s="22" t="s">
        <v>187</v>
      </c>
      <c r="B11" s="10">
        <v>1.0</v>
      </c>
      <c r="C11" s="24" t="s">
        <v>20</v>
      </c>
      <c r="D11" s="11" t="s">
        <v>123</v>
      </c>
      <c r="E11" s="9" t="s">
        <v>189</v>
      </c>
      <c r="F11" s="11" t="s">
        <v>190</v>
      </c>
      <c r="G11" s="10">
        <v>8.0</v>
      </c>
      <c r="H11" s="30" t="s">
        <v>141</v>
      </c>
      <c r="I11" s="11" t="s">
        <v>156</v>
      </c>
      <c r="J11" s="11"/>
    </row>
    <row r="12">
      <c r="A12" s="22" t="s">
        <v>193</v>
      </c>
      <c r="B12" s="10">
        <v>1.0</v>
      </c>
      <c r="C12" s="24" t="s">
        <v>20</v>
      </c>
      <c r="D12" s="11" t="s">
        <v>135</v>
      </c>
      <c r="E12" s="9" t="s">
        <v>196</v>
      </c>
      <c r="F12" s="11" t="s">
        <v>198</v>
      </c>
      <c r="G12" s="10">
        <v>5.0</v>
      </c>
      <c r="H12" s="30" t="s">
        <v>141</v>
      </c>
      <c r="I12" s="11" t="s">
        <v>156</v>
      </c>
      <c r="J12" s="11"/>
    </row>
    <row r="13">
      <c r="A13" s="22" t="s">
        <v>201</v>
      </c>
      <c r="B13" s="10">
        <v>1.0</v>
      </c>
      <c r="C13" s="24" t="s">
        <v>20</v>
      </c>
      <c r="D13" s="11" t="s">
        <v>135</v>
      </c>
      <c r="E13" s="9" t="s">
        <v>203</v>
      </c>
      <c r="F13" s="11" t="s">
        <v>205</v>
      </c>
      <c r="G13" s="10">
        <v>1.0</v>
      </c>
      <c r="H13" s="37" t="s">
        <v>208</v>
      </c>
      <c r="I13" s="11" t="s">
        <v>156</v>
      </c>
      <c r="J13" s="11"/>
    </row>
    <row r="14">
      <c r="A14" s="22" t="s">
        <v>212</v>
      </c>
      <c r="B14" s="10">
        <v>1.0</v>
      </c>
      <c r="C14" s="24" t="s">
        <v>20</v>
      </c>
      <c r="D14" s="11" t="s">
        <v>123</v>
      </c>
      <c r="E14" s="9" t="s">
        <v>214</v>
      </c>
      <c r="F14" s="11" t="s">
        <v>215</v>
      </c>
      <c r="G14" s="10">
        <v>8.0</v>
      </c>
      <c r="H14" s="30" t="s">
        <v>141</v>
      </c>
      <c r="I14" s="11" t="s">
        <v>156</v>
      </c>
      <c r="J14" s="11"/>
    </row>
    <row r="15">
      <c r="A15" s="22" t="s">
        <v>218</v>
      </c>
      <c r="B15" s="10">
        <v>1.0</v>
      </c>
      <c r="C15" s="24" t="s">
        <v>20</v>
      </c>
      <c r="D15" s="11" t="s">
        <v>123</v>
      </c>
      <c r="E15" s="9" t="s">
        <v>220</v>
      </c>
      <c r="F15" s="11" t="s">
        <v>221</v>
      </c>
      <c r="G15" s="10">
        <v>3.0</v>
      </c>
      <c r="H15" s="30" t="s">
        <v>141</v>
      </c>
      <c r="I15" s="11" t="s">
        <v>156</v>
      </c>
      <c r="J15" s="11"/>
    </row>
    <row r="16">
      <c r="A16" s="22" t="s">
        <v>223</v>
      </c>
      <c r="B16" s="10">
        <v>1.0</v>
      </c>
      <c r="C16" s="24" t="s">
        <v>20</v>
      </c>
      <c r="D16" s="11" t="s">
        <v>123</v>
      </c>
      <c r="E16" s="9" t="s">
        <v>225</v>
      </c>
      <c r="F16" s="11" t="s">
        <v>227</v>
      </c>
      <c r="G16" s="10">
        <v>2.0</v>
      </c>
      <c r="H16" s="30" t="s">
        <v>141</v>
      </c>
      <c r="I16" s="11" t="s">
        <v>156</v>
      </c>
      <c r="J16" s="11"/>
    </row>
    <row r="17" ht="21.75" customHeight="1">
      <c r="A17" s="14" t="s">
        <v>229</v>
      </c>
      <c r="B17" s="15"/>
      <c r="C17" s="15"/>
      <c r="D17" s="15"/>
      <c r="E17" s="15"/>
      <c r="F17" s="15"/>
      <c r="G17" s="15"/>
      <c r="H17" s="15"/>
      <c r="I17" s="15"/>
      <c r="J17" s="15"/>
    </row>
    <row r="18" ht="25.5" customHeight="1">
      <c r="A18" s="18" t="s">
        <v>231</v>
      </c>
      <c r="B18" s="15"/>
      <c r="C18" s="15"/>
      <c r="D18" s="15"/>
      <c r="E18" s="15"/>
      <c r="F18" s="15"/>
      <c r="G18" s="15"/>
      <c r="H18" s="15"/>
      <c r="I18" s="15"/>
      <c r="J18" s="15"/>
    </row>
    <row r="19">
      <c r="A19" s="22" t="s">
        <v>233</v>
      </c>
      <c r="B19" s="10">
        <v>2.0</v>
      </c>
      <c r="C19" s="24" t="s">
        <v>20</v>
      </c>
      <c r="D19" s="11" t="s">
        <v>123</v>
      </c>
      <c r="E19" s="9" t="s">
        <v>235</v>
      </c>
      <c r="F19" s="11" t="s">
        <v>236</v>
      </c>
      <c r="G19" s="10">
        <v>5.0</v>
      </c>
      <c r="H19" s="37" t="s">
        <v>208</v>
      </c>
      <c r="I19" s="11" t="s">
        <v>156</v>
      </c>
      <c r="J19" s="11"/>
    </row>
    <row r="20">
      <c r="A20" s="22" t="s">
        <v>237</v>
      </c>
      <c r="B20" s="10">
        <v>2.0</v>
      </c>
      <c r="C20" s="24" t="s">
        <v>20</v>
      </c>
      <c r="D20" s="11" t="s">
        <v>135</v>
      </c>
      <c r="E20" s="9" t="s">
        <v>240</v>
      </c>
      <c r="F20" s="11" t="s">
        <v>243</v>
      </c>
      <c r="G20" s="10">
        <v>3.0</v>
      </c>
      <c r="H20" s="30" t="s">
        <v>141</v>
      </c>
      <c r="I20" s="11" t="s">
        <v>156</v>
      </c>
      <c r="J20" s="11"/>
    </row>
    <row r="21">
      <c r="A21" s="22" t="s">
        <v>246</v>
      </c>
      <c r="B21" s="10">
        <v>2.0</v>
      </c>
      <c r="C21" s="24" t="s">
        <v>20</v>
      </c>
      <c r="D21" s="11" t="s">
        <v>135</v>
      </c>
      <c r="E21" s="9" t="s">
        <v>248</v>
      </c>
      <c r="F21" s="11" t="s">
        <v>249</v>
      </c>
      <c r="G21" s="10">
        <v>2.0</v>
      </c>
      <c r="H21" s="38" t="s">
        <v>253</v>
      </c>
      <c r="I21" s="11" t="s">
        <v>156</v>
      </c>
      <c r="J21" s="11"/>
    </row>
    <row r="22">
      <c r="A22" s="22" t="s">
        <v>257</v>
      </c>
      <c r="B22" s="10">
        <v>2.0</v>
      </c>
      <c r="C22" s="24" t="s">
        <v>39</v>
      </c>
      <c r="D22" s="11" t="s">
        <v>97</v>
      </c>
      <c r="E22" s="9" t="s">
        <v>260</v>
      </c>
      <c r="F22" s="11" t="s">
        <v>262</v>
      </c>
      <c r="G22" s="10">
        <v>5.0</v>
      </c>
      <c r="H22" s="30" t="s">
        <v>141</v>
      </c>
      <c r="I22" s="11" t="s">
        <v>156</v>
      </c>
      <c r="J22" s="11"/>
    </row>
    <row r="23">
      <c r="A23" s="22" t="s">
        <v>265</v>
      </c>
      <c r="B23" s="10">
        <v>2.0</v>
      </c>
      <c r="C23" s="24" t="s">
        <v>39</v>
      </c>
      <c r="D23" s="11" t="s">
        <v>97</v>
      </c>
      <c r="E23" s="9" t="s">
        <v>269</v>
      </c>
      <c r="F23" s="11" t="s">
        <v>271</v>
      </c>
      <c r="G23" s="10">
        <v>5.0</v>
      </c>
      <c r="H23" s="30" t="s">
        <v>141</v>
      </c>
      <c r="I23" s="11" t="s">
        <v>156</v>
      </c>
      <c r="J23" s="11"/>
    </row>
    <row r="24">
      <c r="A24" s="22" t="s">
        <v>273</v>
      </c>
      <c r="B24" s="10">
        <v>2.0</v>
      </c>
      <c r="C24" s="24" t="s">
        <v>39</v>
      </c>
      <c r="D24" s="11" t="s">
        <v>97</v>
      </c>
      <c r="E24" s="9" t="s">
        <v>276</v>
      </c>
      <c r="F24" s="11" t="s">
        <v>279</v>
      </c>
      <c r="G24" s="10">
        <v>5.0</v>
      </c>
      <c r="H24" s="30" t="s">
        <v>141</v>
      </c>
      <c r="I24" s="11" t="s">
        <v>156</v>
      </c>
      <c r="J24" s="11"/>
    </row>
    <row r="25">
      <c r="A25" s="22" t="s">
        <v>282</v>
      </c>
      <c r="B25" s="10">
        <v>2.0</v>
      </c>
      <c r="C25" s="24" t="s">
        <v>39</v>
      </c>
      <c r="D25" s="11" t="s">
        <v>97</v>
      </c>
      <c r="E25" s="9" t="s">
        <v>284</v>
      </c>
      <c r="F25" s="11" t="s">
        <v>286</v>
      </c>
      <c r="G25" s="10">
        <v>5.0</v>
      </c>
      <c r="H25" s="30" t="s">
        <v>141</v>
      </c>
      <c r="I25" s="11" t="s">
        <v>156</v>
      </c>
      <c r="J25" s="11"/>
    </row>
    <row r="26">
      <c r="A26" s="22" t="s">
        <v>289</v>
      </c>
      <c r="B26" s="10">
        <v>2.0</v>
      </c>
      <c r="C26" s="24" t="s">
        <v>50</v>
      </c>
      <c r="D26" s="11" t="s">
        <v>26</v>
      </c>
      <c r="E26" s="9" t="s">
        <v>292</v>
      </c>
      <c r="F26" s="11" t="s">
        <v>293</v>
      </c>
      <c r="G26" s="10">
        <v>3.0</v>
      </c>
      <c r="H26" s="30" t="s">
        <v>141</v>
      </c>
      <c r="I26" s="11" t="s">
        <v>156</v>
      </c>
      <c r="J26" s="11"/>
    </row>
    <row r="27">
      <c r="A27" s="22" t="s">
        <v>297</v>
      </c>
      <c r="B27" s="10">
        <v>2.0</v>
      </c>
      <c r="C27" s="24" t="s">
        <v>50</v>
      </c>
      <c r="D27" s="11" t="s">
        <v>107</v>
      </c>
      <c r="E27" s="9" t="s">
        <v>299</v>
      </c>
      <c r="F27" s="11" t="s">
        <v>301</v>
      </c>
      <c r="G27" s="10">
        <v>5.0</v>
      </c>
      <c r="H27" s="30" t="s">
        <v>141</v>
      </c>
      <c r="I27" s="11" t="s">
        <v>156</v>
      </c>
      <c r="J27" s="11"/>
    </row>
    <row r="28">
      <c r="A28" s="22" t="s">
        <v>303</v>
      </c>
      <c r="B28" s="10">
        <v>2.0</v>
      </c>
      <c r="C28" s="24" t="s">
        <v>50</v>
      </c>
      <c r="D28" s="11" t="s">
        <v>97</v>
      </c>
      <c r="E28" s="9" t="s">
        <v>306</v>
      </c>
      <c r="F28" s="11" t="s">
        <v>307</v>
      </c>
      <c r="G28" s="10">
        <v>3.0</v>
      </c>
      <c r="H28" s="30" t="s">
        <v>141</v>
      </c>
      <c r="I28" s="11" t="s">
        <v>156</v>
      </c>
      <c r="J28" s="11"/>
    </row>
    <row r="29">
      <c r="A29" s="22" t="s">
        <v>310</v>
      </c>
      <c r="B29" s="10">
        <v>2.0</v>
      </c>
      <c r="C29" s="24" t="s">
        <v>50</v>
      </c>
      <c r="D29" s="11" t="s">
        <v>107</v>
      </c>
      <c r="E29" s="9" t="s">
        <v>312</v>
      </c>
      <c r="F29" s="11" t="s">
        <v>314</v>
      </c>
      <c r="G29" s="10">
        <v>2.0</v>
      </c>
      <c r="H29" s="37" t="s">
        <v>208</v>
      </c>
      <c r="I29" s="11" t="s">
        <v>156</v>
      </c>
      <c r="J29" s="11"/>
    </row>
    <row r="30" ht="21.75" customHeight="1">
      <c r="A30" s="14" t="s">
        <v>317</v>
      </c>
      <c r="B30" s="15"/>
      <c r="C30" s="15"/>
      <c r="D30" s="15"/>
      <c r="E30" s="15"/>
      <c r="F30" s="15"/>
      <c r="G30" s="15"/>
      <c r="H30" s="15"/>
      <c r="I30" s="15"/>
      <c r="J30" s="15"/>
    </row>
    <row r="31" ht="25.5" customHeight="1">
      <c r="A31" s="18" t="s">
        <v>321</v>
      </c>
      <c r="B31" s="15"/>
      <c r="C31" s="15"/>
      <c r="D31" s="15"/>
      <c r="E31" s="15"/>
      <c r="F31" s="15"/>
      <c r="G31" s="15"/>
      <c r="H31" s="15"/>
      <c r="I31" s="15"/>
      <c r="J31" s="15"/>
    </row>
    <row r="32">
      <c r="A32" s="22" t="s">
        <v>322</v>
      </c>
      <c r="B32" s="10">
        <v>3.0</v>
      </c>
      <c r="C32" s="24" t="s">
        <v>50</v>
      </c>
      <c r="D32" s="11" t="s">
        <v>107</v>
      </c>
      <c r="E32" s="9" t="s">
        <v>323</v>
      </c>
      <c r="F32" s="11" t="s">
        <v>324</v>
      </c>
      <c r="G32" s="10">
        <v>8.0</v>
      </c>
      <c r="H32" s="30" t="s">
        <v>141</v>
      </c>
      <c r="I32" s="11" t="s">
        <v>156</v>
      </c>
      <c r="J32" s="11"/>
    </row>
    <row r="33">
      <c r="A33" s="22" t="s">
        <v>326</v>
      </c>
      <c r="B33" s="10">
        <v>3.0</v>
      </c>
      <c r="C33" s="24" t="s">
        <v>50</v>
      </c>
      <c r="D33" s="11" t="s">
        <v>107</v>
      </c>
      <c r="E33" s="9" t="s">
        <v>327</v>
      </c>
      <c r="F33" s="11" t="s">
        <v>328</v>
      </c>
      <c r="G33" s="10">
        <v>3.0</v>
      </c>
      <c r="H33" s="30" t="s">
        <v>141</v>
      </c>
      <c r="I33" s="11" t="s">
        <v>156</v>
      </c>
      <c r="J33" s="11"/>
    </row>
    <row r="34">
      <c r="A34" s="22" t="s">
        <v>329</v>
      </c>
      <c r="B34" s="10">
        <v>3.0</v>
      </c>
      <c r="C34" s="24" t="s">
        <v>50</v>
      </c>
      <c r="D34" s="11" t="s">
        <v>107</v>
      </c>
      <c r="E34" s="9" t="s">
        <v>335</v>
      </c>
      <c r="F34" s="11" t="s">
        <v>336</v>
      </c>
      <c r="G34" s="10">
        <v>5.0</v>
      </c>
      <c r="H34" s="30" t="s">
        <v>141</v>
      </c>
      <c r="I34" s="11" t="s">
        <v>156</v>
      </c>
      <c r="J34" s="11"/>
    </row>
    <row r="35">
      <c r="A35" s="22" t="s">
        <v>339</v>
      </c>
      <c r="B35" s="10">
        <v>3.0</v>
      </c>
      <c r="C35" s="24" t="s">
        <v>50</v>
      </c>
      <c r="D35" s="11" t="s">
        <v>97</v>
      </c>
      <c r="E35" s="9" t="s">
        <v>341</v>
      </c>
      <c r="F35" s="11" t="s">
        <v>343</v>
      </c>
      <c r="G35" s="10">
        <v>5.0</v>
      </c>
      <c r="H35" s="30" t="s">
        <v>141</v>
      </c>
      <c r="I35" s="11" t="s">
        <v>156</v>
      </c>
      <c r="J35" s="11"/>
    </row>
    <row r="36">
      <c r="A36" s="22" t="s">
        <v>346</v>
      </c>
      <c r="B36" s="10">
        <v>3.0</v>
      </c>
      <c r="C36" s="24" t="s">
        <v>50</v>
      </c>
      <c r="D36" s="11" t="s">
        <v>97</v>
      </c>
      <c r="E36" s="9" t="s">
        <v>349</v>
      </c>
      <c r="F36" s="11" t="s">
        <v>350</v>
      </c>
      <c r="G36" s="10">
        <v>5.0</v>
      </c>
      <c r="H36" s="30" t="s">
        <v>141</v>
      </c>
      <c r="I36" s="11" t="s">
        <v>156</v>
      </c>
      <c r="J36" s="11"/>
    </row>
    <row r="37">
      <c r="A37" s="22" t="s">
        <v>353</v>
      </c>
      <c r="B37" s="10">
        <v>3.0</v>
      </c>
      <c r="C37" s="24" t="s">
        <v>50</v>
      </c>
      <c r="D37" s="11" t="s">
        <v>97</v>
      </c>
      <c r="E37" s="9" t="s">
        <v>357</v>
      </c>
      <c r="F37" s="11" t="s">
        <v>358</v>
      </c>
      <c r="G37" s="10">
        <v>5.0</v>
      </c>
      <c r="H37" s="30" t="s">
        <v>141</v>
      </c>
      <c r="I37" s="11" t="s">
        <v>156</v>
      </c>
      <c r="J37" s="11"/>
    </row>
    <row r="38">
      <c r="A38" s="22" t="s">
        <v>361</v>
      </c>
      <c r="B38" s="10">
        <v>3.0</v>
      </c>
      <c r="C38" s="24" t="s">
        <v>63</v>
      </c>
      <c r="D38" s="11" t="s">
        <v>97</v>
      </c>
      <c r="E38" s="9" t="s">
        <v>362</v>
      </c>
      <c r="F38" s="11" t="s">
        <v>363</v>
      </c>
      <c r="G38" s="10">
        <v>3.0</v>
      </c>
      <c r="H38" s="30" t="s">
        <v>141</v>
      </c>
      <c r="I38" s="11" t="s">
        <v>156</v>
      </c>
      <c r="J38" s="11"/>
    </row>
    <row r="39">
      <c r="A39" s="22" t="s">
        <v>364</v>
      </c>
      <c r="B39" s="10">
        <v>3.0</v>
      </c>
      <c r="C39" s="24" t="s">
        <v>63</v>
      </c>
      <c r="D39" s="11" t="s">
        <v>97</v>
      </c>
      <c r="E39" s="9" t="s">
        <v>365</v>
      </c>
      <c r="F39" s="11" t="s">
        <v>366</v>
      </c>
      <c r="G39" s="10">
        <v>5.0</v>
      </c>
      <c r="H39" s="30" t="s">
        <v>141</v>
      </c>
      <c r="I39" s="11" t="s">
        <v>156</v>
      </c>
      <c r="J39" s="11"/>
    </row>
    <row r="40">
      <c r="A40" s="22" t="s">
        <v>367</v>
      </c>
      <c r="B40" s="10">
        <v>3.0</v>
      </c>
      <c r="C40" s="24" t="s">
        <v>63</v>
      </c>
      <c r="D40" s="11" t="s">
        <v>97</v>
      </c>
      <c r="E40" s="9" t="s">
        <v>368</v>
      </c>
      <c r="F40" s="11" t="s">
        <v>369</v>
      </c>
      <c r="G40" s="10">
        <v>3.0</v>
      </c>
      <c r="H40" s="37" t="s">
        <v>208</v>
      </c>
      <c r="I40" s="11" t="s">
        <v>156</v>
      </c>
      <c r="J40" s="11"/>
    </row>
    <row r="41" ht="21.75" customHeight="1">
      <c r="A41" s="14" t="s">
        <v>372</v>
      </c>
      <c r="B41" s="15"/>
      <c r="C41" s="15"/>
      <c r="D41" s="15"/>
      <c r="E41" s="15"/>
      <c r="F41" s="15"/>
      <c r="G41" s="15"/>
      <c r="H41" s="15"/>
      <c r="I41" s="15"/>
      <c r="J41" s="15"/>
    </row>
    <row r="42" ht="25.5" customHeight="1">
      <c r="A42" s="18" t="s">
        <v>375</v>
      </c>
      <c r="B42" s="15"/>
      <c r="C42" s="15"/>
      <c r="D42" s="15"/>
      <c r="E42" s="15"/>
      <c r="F42" s="15"/>
      <c r="G42" s="15"/>
      <c r="H42" s="15"/>
      <c r="I42" s="15"/>
      <c r="J42" s="15"/>
    </row>
    <row r="43">
      <c r="A43" s="22" t="s">
        <v>378</v>
      </c>
      <c r="B43" s="10">
        <v>4.0</v>
      </c>
      <c r="C43" s="24" t="s">
        <v>63</v>
      </c>
      <c r="D43" s="11" t="s">
        <v>97</v>
      </c>
      <c r="E43" s="9" t="s">
        <v>380</v>
      </c>
      <c r="F43" s="11" t="s">
        <v>381</v>
      </c>
      <c r="G43" s="10">
        <v>8.0</v>
      </c>
      <c r="H43" s="30" t="s">
        <v>141</v>
      </c>
      <c r="I43" s="11" t="s">
        <v>156</v>
      </c>
      <c r="J43" s="11"/>
    </row>
    <row r="44">
      <c r="A44" s="22" t="s">
        <v>384</v>
      </c>
      <c r="B44" s="10">
        <v>4.0</v>
      </c>
      <c r="C44" s="24" t="s">
        <v>63</v>
      </c>
      <c r="D44" s="11" t="s">
        <v>97</v>
      </c>
      <c r="E44" s="9" t="s">
        <v>387</v>
      </c>
      <c r="F44" s="11" t="s">
        <v>388</v>
      </c>
      <c r="G44" s="10">
        <v>5.0</v>
      </c>
      <c r="H44" s="30" t="s">
        <v>141</v>
      </c>
      <c r="I44" s="11" t="s">
        <v>156</v>
      </c>
      <c r="J44" s="11"/>
    </row>
    <row r="45">
      <c r="A45" s="22" t="s">
        <v>390</v>
      </c>
      <c r="B45" s="10">
        <v>4.0</v>
      </c>
      <c r="C45" s="24" t="s">
        <v>63</v>
      </c>
      <c r="D45" s="11" t="s">
        <v>97</v>
      </c>
      <c r="E45" s="9" t="s">
        <v>392</v>
      </c>
      <c r="F45" s="11" t="s">
        <v>393</v>
      </c>
      <c r="G45" s="10">
        <v>5.0</v>
      </c>
      <c r="H45" s="30" t="s">
        <v>141</v>
      </c>
      <c r="I45" s="11" t="s">
        <v>156</v>
      </c>
      <c r="J45" s="11"/>
    </row>
    <row r="46">
      <c r="A46" s="22" t="s">
        <v>396</v>
      </c>
      <c r="B46" s="10">
        <v>4.0</v>
      </c>
      <c r="C46" s="24" t="s">
        <v>63</v>
      </c>
      <c r="D46" s="11" t="s">
        <v>97</v>
      </c>
      <c r="E46" s="9" t="s">
        <v>397</v>
      </c>
      <c r="F46" s="11" t="s">
        <v>398</v>
      </c>
      <c r="G46" s="10">
        <v>8.0</v>
      </c>
      <c r="H46" s="30" t="s">
        <v>141</v>
      </c>
      <c r="I46" s="11" t="s">
        <v>156</v>
      </c>
      <c r="J46" s="11"/>
    </row>
    <row r="47">
      <c r="A47" s="22" t="s">
        <v>400</v>
      </c>
      <c r="B47" s="10">
        <v>4.0</v>
      </c>
      <c r="C47" s="24" t="s">
        <v>63</v>
      </c>
      <c r="D47" s="11" t="s">
        <v>56</v>
      </c>
      <c r="E47" s="9" t="s">
        <v>401</v>
      </c>
      <c r="F47" s="11" t="s">
        <v>402</v>
      </c>
      <c r="G47" s="10">
        <v>3.0</v>
      </c>
      <c r="H47" s="30" t="s">
        <v>141</v>
      </c>
      <c r="I47" s="11" t="s">
        <v>156</v>
      </c>
      <c r="J47" s="11"/>
    </row>
    <row r="48">
      <c r="A48" s="22" t="s">
        <v>403</v>
      </c>
      <c r="B48" s="10">
        <v>4.0</v>
      </c>
      <c r="C48" s="24" t="s">
        <v>63</v>
      </c>
      <c r="D48" s="11" t="s">
        <v>97</v>
      </c>
      <c r="E48" s="9" t="s">
        <v>405</v>
      </c>
      <c r="F48" s="11" t="s">
        <v>406</v>
      </c>
      <c r="G48" s="10">
        <v>3.0</v>
      </c>
      <c r="H48" s="30" t="s">
        <v>141</v>
      </c>
      <c r="I48" s="11" t="s">
        <v>156</v>
      </c>
      <c r="J48" s="11"/>
    </row>
    <row r="49">
      <c r="A49" s="22" t="s">
        <v>407</v>
      </c>
      <c r="B49" s="10">
        <v>4.0</v>
      </c>
      <c r="C49" s="24" t="s">
        <v>75</v>
      </c>
      <c r="D49" s="11" t="s">
        <v>71</v>
      </c>
      <c r="E49" s="9" t="s">
        <v>409</v>
      </c>
      <c r="F49" s="11" t="s">
        <v>410</v>
      </c>
      <c r="G49" s="10">
        <v>8.0</v>
      </c>
      <c r="H49" s="30" t="s">
        <v>141</v>
      </c>
      <c r="I49" s="11" t="s">
        <v>156</v>
      </c>
      <c r="J49" s="11"/>
    </row>
    <row r="50">
      <c r="A50" s="22" t="s">
        <v>412</v>
      </c>
      <c r="B50" s="10">
        <v>4.0</v>
      </c>
      <c r="C50" s="24" t="s">
        <v>75</v>
      </c>
      <c r="D50" s="11" t="s">
        <v>56</v>
      </c>
      <c r="E50" s="9" t="s">
        <v>415</v>
      </c>
      <c r="F50" s="11" t="s">
        <v>417</v>
      </c>
      <c r="G50" s="10">
        <v>5.0</v>
      </c>
      <c r="H50" s="30" t="s">
        <v>141</v>
      </c>
      <c r="I50" s="11" t="s">
        <v>156</v>
      </c>
      <c r="J50" s="11"/>
    </row>
    <row r="51" ht="21.75" customHeight="1">
      <c r="A51" s="14" t="s">
        <v>421</v>
      </c>
      <c r="B51" s="15"/>
      <c r="C51" s="15"/>
      <c r="D51" s="15"/>
      <c r="E51" s="15"/>
      <c r="F51" s="15"/>
      <c r="G51" s="15"/>
      <c r="H51" s="15"/>
      <c r="I51" s="15"/>
      <c r="J51" s="15"/>
    </row>
    <row r="52" ht="25.5" customHeight="1">
      <c r="A52" s="18" t="s">
        <v>424</v>
      </c>
      <c r="B52" s="15"/>
      <c r="C52" s="15"/>
      <c r="D52" s="15"/>
      <c r="E52" s="15"/>
      <c r="F52" s="15"/>
      <c r="G52" s="15"/>
      <c r="H52" s="15"/>
      <c r="I52" s="15"/>
      <c r="J52" s="15"/>
    </row>
    <row r="53">
      <c r="A53" s="22" t="s">
        <v>428</v>
      </c>
      <c r="B53" s="10">
        <v>5.0</v>
      </c>
      <c r="C53" s="24" t="s">
        <v>75</v>
      </c>
      <c r="D53" s="11" t="s">
        <v>71</v>
      </c>
      <c r="E53" s="9" t="s">
        <v>430</v>
      </c>
      <c r="F53" s="11" t="s">
        <v>433</v>
      </c>
      <c r="G53" s="10">
        <v>5.0</v>
      </c>
      <c r="H53" s="30" t="s">
        <v>141</v>
      </c>
      <c r="I53" s="11" t="s">
        <v>156</v>
      </c>
      <c r="J53" s="11"/>
    </row>
    <row r="54">
      <c r="A54" s="22" t="s">
        <v>435</v>
      </c>
      <c r="B54" s="10">
        <v>5.0</v>
      </c>
      <c r="C54" s="24" t="s">
        <v>75</v>
      </c>
      <c r="D54" s="11" t="s">
        <v>97</v>
      </c>
      <c r="E54" s="9" t="s">
        <v>437</v>
      </c>
      <c r="F54" s="11" t="s">
        <v>438</v>
      </c>
      <c r="G54" s="10">
        <v>3.0</v>
      </c>
      <c r="H54" s="30" t="s">
        <v>141</v>
      </c>
      <c r="I54" s="11" t="s">
        <v>156</v>
      </c>
      <c r="J54" s="11"/>
    </row>
    <row r="55">
      <c r="A55" s="22" t="s">
        <v>441</v>
      </c>
      <c r="B55" s="10">
        <v>5.0</v>
      </c>
      <c r="C55" s="24" t="s">
        <v>75</v>
      </c>
      <c r="D55" s="11" t="s">
        <v>56</v>
      </c>
      <c r="E55" s="9" t="s">
        <v>443</v>
      </c>
      <c r="F55" s="11" t="s">
        <v>444</v>
      </c>
      <c r="G55" s="10">
        <v>3.0</v>
      </c>
      <c r="H55" s="30" t="s">
        <v>141</v>
      </c>
      <c r="I55" s="11" t="s">
        <v>156</v>
      </c>
      <c r="J55" s="11"/>
    </row>
    <row r="56">
      <c r="A56" s="22" t="s">
        <v>445</v>
      </c>
      <c r="B56" s="10">
        <v>5.0</v>
      </c>
      <c r="C56" s="24" t="s">
        <v>75</v>
      </c>
      <c r="D56" s="11" t="s">
        <v>97</v>
      </c>
      <c r="E56" s="9" t="s">
        <v>446</v>
      </c>
      <c r="F56" s="11" t="s">
        <v>447</v>
      </c>
      <c r="G56" s="10">
        <v>3.0</v>
      </c>
      <c r="H56" s="37" t="s">
        <v>208</v>
      </c>
      <c r="I56" s="11" t="s">
        <v>156</v>
      </c>
      <c r="J56" s="11"/>
    </row>
    <row r="57">
      <c r="A57" s="22" t="s">
        <v>448</v>
      </c>
      <c r="B57" s="10">
        <v>5.0</v>
      </c>
      <c r="C57" s="24" t="s">
        <v>84</v>
      </c>
      <c r="D57" s="11" t="s">
        <v>71</v>
      </c>
      <c r="E57" s="9" t="s">
        <v>449</v>
      </c>
      <c r="F57" s="11" t="s">
        <v>450</v>
      </c>
      <c r="G57" s="10">
        <v>8.0</v>
      </c>
      <c r="H57" s="30" t="s">
        <v>141</v>
      </c>
      <c r="I57" s="11" t="s">
        <v>156</v>
      </c>
      <c r="J57" s="11"/>
    </row>
    <row r="58">
      <c r="A58" s="22" t="s">
        <v>451</v>
      </c>
      <c r="B58" s="10">
        <v>5.0</v>
      </c>
      <c r="C58" s="24" t="s">
        <v>84</v>
      </c>
      <c r="D58" s="11" t="s">
        <v>56</v>
      </c>
      <c r="E58" s="9" t="s">
        <v>452</v>
      </c>
      <c r="F58" s="11" t="s">
        <v>453</v>
      </c>
      <c r="G58" s="10">
        <v>5.0</v>
      </c>
      <c r="H58" s="30" t="s">
        <v>141</v>
      </c>
      <c r="I58" s="11" t="s">
        <v>156</v>
      </c>
      <c r="J58" s="11"/>
    </row>
    <row r="59">
      <c r="A59" s="22" t="s">
        <v>454</v>
      </c>
      <c r="B59" s="10">
        <v>5.0</v>
      </c>
      <c r="C59" s="24" t="s">
        <v>84</v>
      </c>
      <c r="D59" s="11" t="s">
        <v>56</v>
      </c>
      <c r="E59" s="9" t="s">
        <v>455</v>
      </c>
      <c r="F59" s="11" t="s">
        <v>456</v>
      </c>
      <c r="G59" s="10">
        <v>5.0</v>
      </c>
      <c r="H59" s="30" t="s">
        <v>141</v>
      </c>
      <c r="I59" s="11" t="s">
        <v>156</v>
      </c>
      <c r="J59" s="11"/>
    </row>
    <row r="60">
      <c r="A60" s="22" t="s">
        <v>457</v>
      </c>
      <c r="B60" s="10">
        <v>5.0</v>
      </c>
      <c r="C60" s="24" t="s">
        <v>84</v>
      </c>
      <c r="D60" s="11" t="s">
        <v>56</v>
      </c>
      <c r="E60" s="9" t="s">
        <v>458</v>
      </c>
      <c r="F60" s="11" t="s">
        <v>459</v>
      </c>
      <c r="G60" s="10">
        <v>5.0</v>
      </c>
      <c r="H60" s="30" t="s">
        <v>141</v>
      </c>
      <c r="I60" s="11" t="s">
        <v>156</v>
      </c>
      <c r="J60" s="11"/>
    </row>
    <row r="61">
      <c r="A61" s="22" t="s">
        <v>460</v>
      </c>
      <c r="B61" s="10">
        <v>5.0</v>
      </c>
      <c r="C61" s="24" t="s">
        <v>84</v>
      </c>
      <c r="D61" s="11" t="s">
        <v>71</v>
      </c>
      <c r="E61" s="9" t="s">
        <v>461</v>
      </c>
      <c r="F61" s="11" t="s">
        <v>462</v>
      </c>
      <c r="G61" s="10">
        <v>3.0</v>
      </c>
      <c r="H61" s="30" t="s">
        <v>141</v>
      </c>
      <c r="I61" s="11" t="s">
        <v>156</v>
      </c>
      <c r="J61" s="11"/>
    </row>
    <row r="62">
      <c r="A62" s="22" t="s">
        <v>463</v>
      </c>
      <c r="B62" s="10">
        <v>5.0</v>
      </c>
      <c r="C62" s="24" t="s">
        <v>84</v>
      </c>
      <c r="D62" s="11" t="s">
        <v>71</v>
      </c>
      <c r="E62" s="9" t="s">
        <v>464</v>
      </c>
      <c r="F62" s="11" t="s">
        <v>465</v>
      </c>
      <c r="G62" s="10">
        <v>5.0</v>
      </c>
      <c r="H62" s="30" t="s">
        <v>141</v>
      </c>
      <c r="I62" s="11" t="s">
        <v>156</v>
      </c>
      <c r="J62" s="11"/>
    </row>
    <row r="63" ht="21.75" customHeight="1">
      <c r="A63" s="14" t="s">
        <v>466</v>
      </c>
      <c r="B63" s="15"/>
      <c r="C63" s="15"/>
      <c r="D63" s="15"/>
      <c r="E63" s="15"/>
      <c r="F63" s="15"/>
      <c r="G63" s="15"/>
      <c r="H63" s="15"/>
      <c r="I63" s="15"/>
      <c r="J63" s="15"/>
    </row>
    <row r="64" ht="25.5" customHeight="1">
      <c r="A64" s="18" t="s">
        <v>467</v>
      </c>
      <c r="B64" s="15"/>
      <c r="C64" s="15"/>
      <c r="D64" s="15"/>
      <c r="E64" s="15"/>
      <c r="F64" s="15"/>
      <c r="G64" s="15"/>
      <c r="H64" s="15"/>
      <c r="I64" s="15"/>
      <c r="J64" s="15"/>
    </row>
    <row r="65">
      <c r="A65" s="22" t="s">
        <v>468</v>
      </c>
      <c r="B65" s="10">
        <v>6.0</v>
      </c>
      <c r="C65" s="24" t="s">
        <v>84</v>
      </c>
      <c r="D65" s="11" t="s">
        <v>71</v>
      </c>
      <c r="E65" s="9" t="s">
        <v>469</v>
      </c>
      <c r="F65" s="11" t="s">
        <v>470</v>
      </c>
      <c r="G65" s="10">
        <v>8.0</v>
      </c>
      <c r="H65" s="30" t="s">
        <v>141</v>
      </c>
      <c r="I65" s="11" t="s">
        <v>156</v>
      </c>
      <c r="J65" s="11"/>
    </row>
    <row r="66">
      <c r="A66" s="22" t="s">
        <v>471</v>
      </c>
      <c r="B66" s="10">
        <v>6.0</v>
      </c>
      <c r="C66" s="24" t="s">
        <v>84</v>
      </c>
      <c r="D66" s="11" t="s">
        <v>71</v>
      </c>
      <c r="E66" s="9" t="s">
        <v>472</v>
      </c>
      <c r="F66" s="11" t="s">
        <v>473</v>
      </c>
      <c r="G66" s="10">
        <v>8.0</v>
      </c>
      <c r="H66" s="37" t="s">
        <v>208</v>
      </c>
      <c r="I66" s="11" t="s">
        <v>156</v>
      </c>
      <c r="J66" s="11"/>
    </row>
    <row r="67">
      <c r="A67" s="22" t="s">
        <v>474</v>
      </c>
      <c r="B67" s="10">
        <v>6.0</v>
      </c>
      <c r="C67" s="24" t="s">
        <v>84</v>
      </c>
      <c r="D67" s="11" t="s">
        <v>71</v>
      </c>
      <c r="E67" s="9" t="s">
        <v>475</v>
      </c>
      <c r="F67" s="11" t="s">
        <v>476</v>
      </c>
      <c r="G67" s="10">
        <v>3.0</v>
      </c>
      <c r="H67" s="30" t="s">
        <v>141</v>
      </c>
      <c r="I67" s="11" t="s">
        <v>156</v>
      </c>
      <c r="J67" s="11"/>
    </row>
    <row r="68">
      <c r="A68" s="22" t="s">
        <v>477</v>
      </c>
      <c r="B68" s="10">
        <v>6.0</v>
      </c>
      <c r="C68" s="24" t="s">
        <v>84</v>
      </c>
      <c r="D68" s="11" t="s">
        <v>56</v>
      </c>
      <c r="E68" s="9" t="s">
        <v>478</v>
      </c>
      <c r="F68" s="11" t="s">
        <v>479</v>
      </c>
      <c r="G68" s="10">
        <v>3.0</v>
      </c>
      <c r="H68" s="30" t="s">
        <v>141</v>
      </c>
      <c r="I68" s="11" t="s">
        <v>156</v>
      </c>
      <c r="J68" s="11"/>
    </row>
    <row r="69">
      <c r="A69" s="22" t="s">
        <v>480</v>
      </c>
      <c r="B69" s="10">
        <v>6.0</v>
      </c>
      <c r="C69" s="24" t="s">
        <v>112</v>
      </c>
      <c r="D69" s="11" t="s">
        <v>71</v>
      </c>
      <c r="E69" s="9" t="s">
        <v>481</v>
      </c>
      <c r="F69" s="11" t="s">
        <v>482</v>
      </c>
      <c r="G69" s="10">
        <v>3.0</v>
      </c>
      <c r="H69" s="30" t="s">
        <v>141</v>
      </c>
      <c r="I69" s="11" t="s">
        <v>156</v>
      </c>
      <c r="J69" s="11"/>
    </row>
    <row r="70">
      <c r="A70" s="22" t="s">
        <v>483</v>
      </c>
      <c r="B70" s="10">
        <v>6.0</v>
      </c>
      <c r="C70" s="24" t="s">
        <v>112</v>
      </c>
      <c r="D70" s="11" t="s">
        <v>56</v>
      </c>
      <c r="E70" s="9" t="s">
        <v>484</v>
      </c>
      <c r="F70" s="11" t="s">
        <v>485</v>
      </c>
      <c r="G70" s="10">
        <v>3.0</v>
      </c>
      <c r="H70" s="30" t="s">
        <v>141</v>
      </c>
      <c r="I70" s="11" t="s">
        <v>156</v>
      </c>
      <c r="J70" s="11"/>
    </row>
    <row r="71">
      <c r="A71" s="22" t="s">
        <v>486</v>
      </c>
      <c r="B71" s="10">
        <v>6.0</v>
      </c>
      <c r="C71" s="24" t="s">
        <v>112</v>
      </c>
      <c r="D71" s="11" t="s">
        <v>97</v>
      </c>
      <c r="E71" s="9" t="s">
        <v>487</v>
      </c>
      <c r="F71" s="11" t="s">
        <v>488</v>
      </c>
      <c r="G71" s="10">
        <v>3.0</v>
      </c>
      <c r="H71" s="30" t="s">
        <v>141</v>
      </c>
      <c r="I71" s="11" t="s">
        <v>156</v>
      </c>
      <c r="J71" s="11"/>
    </row>
    <row r="72">
      <c r="A72" s="22" t="s">
        <v>489</v>
      </c>
      <c r="B72" s="10">
        <v>6.0</v>
      </c>
      <c r="C72" s="24" t="s">
        <v>112</v>
      </c>
      <c r="D72" s="11" t="s">
        <v>56</v>
      </c>
      <c r="E72" s="9" t="s">
        <v>490</v>
      </c>
      <c r="F72" s="11" t="s">
        <v>491</v>
      </c>
      <c r="G72" s="10">
        <v>3.0</v>
      </c>
      <c r="H72" s="37" t="s">
        <v>208</v>
      </c>
      <c r="I72" s="11" t="s">
        <v>156</v>
      </c>
      <c r="J72" s="11"/>
    </row>
    <row r="73">
      <c r="A73" s="22" t="s">
        <v>492</v>
      </c>
      <c r="B73" s="10">
        <v>6.0</v>
      </c>
      <c r="C73" s="24" t="s">
        <v>112</v>
      </c>
      <c r="D73" s="11" t="s">
        <v>135</v>
      </c>
      <c r="E73" s="9" t="s">
        <v>493</v>
      </c>
      <c r="F73" s="11" t="s">
        <v>494</v>
      </c>
      <c r="G73" s="10">
        <v>5.0</v>
      </c>
      <c r="H73" s="30" t="s">
        <v>141</v>
      </c>
      <c r="I73" s="11" t="s">
        <v>156</v>
      </c>
      <c r="J73" s="11"/>
    </row>
    <row r="74">
      <c r="A74" s="22" t="s">
        <v>495</v>
      </c>
      <c r="B74" s="10">
        <v>6.0</v>
      </c>
      <c r="C74" s="24" t="s">
        <v>112</v>
      </c>
      <c r="D74" s="11" t="s">
        <v>135</v>
      </c>
      <c r="E74" s="9" t="s">
        <v>496</v>
      </c>
      <c r="F74" s="11" t="s">
        <v>497</v>
      </c>
      <c r="G74" s="10">
        <v>3.0</v>
      </c>
      <c r="H74" s="37" t="s">
        <v>208</v>
      </c>
      <c r="I74" s="11" t="s">
        <v>156</v>
      </c>
      <c r="J74" s="11"/>
    </row>
    <row r="75">
      <c r="A75" s="22" t="s">
        <v>498</v>
      </c>
      <c r="B75" s="10">
        <v>6.0</v>
      </c>
      <c r="C75" s="24" t="s">
        <v>20</v>
      </c>
      <c r="D75" s="11" t="s">
        <v>123</v>
      </c>
      <c r="E75" s="9" t="s">
        <v>499</v>
      </c>
      <c r="F75" s="11" t="s">
        <v>500</v>
      </c>
      <c r="G75" s="10">
        <v>3.0</v>
      </c>
      <c r="H75" s="37" t="s">
        <v>208</v>
      </c>
      <c r="I75" s="11" t="s">
        <v>156</v>
      </c>
      <c r="J75" s="11"/>
    </row>
    <row r="76" ht="21.75" customHeight="1">
      <c r="A76" s="14" t="s">
        <v>501</v>
      </c>
      <c r="B76" s="15"/>
      <c r="C76" s="15"/>
      <c r="D76" s="15"/>
      <c r="E76" s="15"/>
      <c r="F76" s="15"/>
      <c r="G76" s="15"/>
      <c r="H76" s="15"/>
      <c r="I76" s="15"/>
      <c r="J76" s="15"/>
    </row>
    <row r="77" ht="25.5" customHeight="1">
      <c r="A77" s="18" t="s">
        <v>502</v>
      </c>
      <c r="B77" s="15"/>
      <c r="C77" s="15"/>
      <c r="D77" s="15"/>
      <c r="E77" s="15"/>
      <c r="F77" s="15"/>
      <c r="G77" s="15"/>
      <c r="H77" s="15"/>
      <c r="I77" s="15"/>
      <c r="J77" s="15"/>
    </row>
    <row r="78">
      <c r="A78" s="22" t="s">
        <v>503</v>
      </c>
      <c r="B78" s="10">
        <v>7.0</v>
      </c>
      <c r="C78" s="24" t="s">
        <v>103</v>
      </c>
      <c r="D78" s="11" t="s">
        <v>116</v>
      </c>
      <c r="E78" s="9" t="s">
        <v>504</v>
      </c>
      <c r="F78" s="11" t="s">
        <v>505</v>
      </c>
      <c r="G78" s="10">
        <v>5.0</v>
      </c>
      <c r="H78" s="30" t="s">
        <v>141</v>
      </c>
      <c r="I78" s="11" t="s">
        <v>156</v>
      </c>
      <c r="J78" s="11"/>
    </row>
    <row r="79">
      <c r="A79" s="22" t="s">
        <v>506</v>
      </c>
      <c r="B79" s="10">
        <v>7.0</v>
      </c>
      <c r="C79" s="24" t="s">
        <v>103</v>
      </c>
      <c r="D79" s="11" t="s">
        <v>116</v>
      </c>
      <c r="E79" s="9" t="s">
        <v>507</v>
      </c>
      <c r="F79" s="11" t="s">
        <v>508</v>
      </c>
      <c r="G79" s="10">
        <v>8.0</v>
      </c>
      <c r="H79" s="30" t="s">
        <v>141</v>
      </c>
      <c r="I79" s="11" t="s">
        <v>156</v>
      </c>
      <c r="J79" s="11"/>
    </row>
    <row r="80">
      <c r="A80" s="22" t="s">
        <v>509</v>
      </c>
      <c r="B80" s="10">
        <v>7.0</v>
      </c>
      <c r="C80" s="24" t="s">
        <v>103</v>
      </c>
      <c r="D80" s="11" t="s">
        <v>116</v>
      </c>
      <c r="E80" s="9" t="s">
        <v>510</v>
      </c>
      <c r="F80" s="11" t="s">
        <v>511</v>
      </c>
      <c r="G80" s="10">
        <v>8.0</v>
      </c>
      <c r="H80" s="30" t="s">
        <v>141</v>
      </c>
      <c r="I80" s="11" t="s">
        <v>156</v>
      </c>
      <c r="J80" s="11"/>
    </row>
    <row r="81">
      <c r="A81" s="22" t="s">
        <v>512</v>
      </c>
      <c r="B81" s="10">
        <v>7.0</v>
      </c>
      <c r="C81" s="24" t="s">
        <v>103</v>
      </c>
      <c r="D81" s="11" t="s">
        <v>116</v>
      </c>
      <c r="E81" s="9" t="s">
        <v>513</v>
      </c>
      <c r="F81" s="11" t="s">
        <v>514</v>
      </c>
      <c r="G81" s="10">
        <v>5.0</v>
      </c>
      <c r="H81" s="37" t="s">
        <v>208</v>
      </c>
      <c r="I81" s="11" t="s">
        <v>156</v>
      </c>
      <c r="J81" s="11"/>
    </row>
    <row r="82">
      <c r="A82" s="22" t="s">
        <v>515</v>
      </c>
      <c r="B82" s="10">
        <v>7.0</v>
      </c>
      <c r="C82" s="24" t="s">
        <v>103</v>
      </c>
      <c r="D82" s="11" t="s">
        <v>116</v>
      </c>
      <c r="E82" s="9" t="s">
        <v>516</v>
      </c>
      <c r="F82" s="11" t="s">
        <v>517</v>
      </c>
      <c r="G82" s="10">
        <v>5.0</v>
      </c>
      <c r="H82" s="30" t="s">
        <v>141</v>
      </c>
      <c r="I82" s="11" t="s">
        <v>156</v>
      </c>
      <c r="J82" s="11"/>
    </row>
    <row r="83">
      <c r="A83" s="22" t="s">
        <v>518</v>
      </c>
      <c r="B83" s="10">
        <v>7.0</v>
      </c>
      <c r="C83" s="24" t="s">
        <v>103</v>
      </c>
      <c r="D83" s="11" t="s">
        <v>56</v>
      </c>
      <c r="E83" s="9" t="s">
        <v>519</v>
      </c>
      <c r="F83" s="11" t="s">
        <v>520</v>
      </c>
      <c r="G83" s="10">
        <v>5.0</v>
      </c>
      <c r="H83" s="37" t="s">
        <v>208</v>
      </c>
      <c r="I83" s="11" t="s">
        <v>156</v>
      </c>
      <c r="J83" s="11"/>
    </row>
    <row r="84">
      <c r="A84" s="22" t="s">
        <v>521</v>
      </c>
      <c r="B84" s="10">
        <v>7.0</v>
      </c>
      <c r="C84" s="24" t="s">
        <v>103</v>
      </c>
      <c r="D84" s="11" t="s">
        <v>56</v>
      </c>
      <c r="E84" s="9" t="s">
        <v>522</v>
      </c>
      <c r="F84" s="11" t="s">
        <v>523</v>
      </c>
      <c r="G84" s="10">
        <v>3.0</v>
      </c>
      <c r="H84" s="30" t="s">
        <v>141</v>
      </c>
      <c r="I84" s="11" t="s">
        <v>156</v>
      </c>
      <c r="J84" s="11"/>
    </row>
    <row r="85">
      <c r="A85" s="22" t="s">
        <v>524</v>
      </c>
      <c r="B85" s="10">
        <v>7.0</v>
      </c>
      <c r="C85" s="24" t="s">
        <v>103</v>
      </c>
      <c r="D85" s="11" t="s">
        <v>116</v>
      </c>
      <c r="E85" s="9" t="s">
        <v>525</v>
      </c>
      <c r="F85" s="11" t="s">
        <v>526</v>
      </c>
      <c r="G85" s="10">
        <v>5.0</v>
      </c>
      <c r="H85" s="37" t="s">
        <v>208</v>
      </c>
      <c r="I85" s="11" t="s">
        <v>156</v>
      </c>
      <c r="J85" s="11"/>
    </row>
    <row r="86" ht="21.75" customHeight="1">
      <c r="A86" s="14" t="s">
        <v>527</v>
      </c>
      <c r="B86" s="15"/>
      <c r="C86" s="15"/>
      <c r="D86" s="15"/>
      <c r="E86" s="15"/>
      <c r="F86" s="15"/>
      <c r="G86" s="15"/>
      <c r="H86" s="15"/>
      <c r="I86" s="15"/>
      <c r="J86" s="15"/>
    </row>
    <row r="87" ht="25.5" customHeight="1">
      <c r="A87" s="18" t="s">
        <v>528</v>
      </c>
      <c r="B87" s="15"/>
      <c r="C87" s="15"/>
      <c r="D87" s="15"/>
      <c r="E87" s="15"/>
      <c r="F87" s="15"/>
      <c r="G87" s="15"/>
      <c r="H87" s="15"/>
      <c r="I87" s="15"/>
      <c r="J87" s="15"/>
    </row>
    <row r="88">
      <c r="A88" s="22" t="s">
        <v>529</v>
      </c>
      <c r="B88" s="10">
        <v>8.0</v>
      </c>
      <c r="C88" s="24" t="s">
        <v>93</v>
      </c>
      <c r="D88" s="11" t="s">
        <v>97</v>
      </c>
      <c r="E88" s="9" t="s">
        <v>530</v>
      </c>
      <c r="F88" s="11" t="s">
        <v>531</v>
      </c>
      <c r="G88" s="10">
        <v>5.0</v>
      </c>
      <c r="H88" s="30" t="s">
        <v>141</v>
      </c>
      <c r="I88" s="11" t="s">
        <v>156</v>
      </c>
      <c r="J88" s="11"/>
    </row>
    <row r="89">
      <c r="A89" s="22" t="s">
        <v>532</v>
      </c>
      <c r="B89" s="10">
        <v>8.0</v>
      </c>
      <c r="C89" s="24" t="s">
        <v>93</v>
      </c>
      <c r="D89" s="11" t="s">
        <v>71</v>
      </c>
      <c r="E89" s="9" t="s">
        <v>533</v>
      </c>
      <c r="F89" s="11" t="s">
        <v>534</v>
      </c>
      <c r="G89" s="10">
        <v>8.0</v>
      </c>
      <c r="H89" s="30" t="s">
        <v>141</v>
      </c>
      <c r="I89" s="11" t="s">
        <v>156</v>
      </c>
      <c r="J89" s="11"/>
    </row>
    <row r="90">
      <c r="A90" s="22" t="s">
        <v>535</v>
      </c>
      <c r="B90" s="10">
        <v>8.0</v>
      </c>
      <c r="C90" s="24" t="s">
        <v>93</v>
      </c>
      <c r="D90" s="11" t="s">
        <v>56</v>
      </c>
      <c r="E90" s="9" t="s">
        <v>536</v>
      </c>
      <c r="F90" s="11" t="s">
        <v>537</v>
      </c>
      <c r="G90" s="10">
        <v>5.0</v>
      </c>
      <c r="H90" s="30" t="s">
        <v>141</v>
      </c>
      <c r="I90" s="11" t="s">
        <v>156</v>
      </c>
      <c r="J90" s="11"/>
    </row>
    <row r="91">
      <c r="A91" s="22" t="s">
        <v>538</v>
      </c>
      <c r="B91" s="10">
        <v>8.0</v>
      </c>
      <c r="C91" s="24" t="s">
        <v>93</v>
      </c>
      <c r="D91" s="11" t="s">
        <v>97</v>
      </c>
      <c r="E91" s="9" t="s">
        <v>539</v>
      </c>
      <c r="F91" s="11" t="s">
        <v>540</v>
      </c>
      <c r="G91" s="10">
        <v>5.0</v>
      </c>
      <c r="H91" s="30" t="s">
        <v>141</v>
      </c>
      <c r="I91" s="11" t="s">
        <v>156</v>
      </c>
      <c r="J91" s="11"/>
    </row>
    <row r="92">
      <c r="A92" s="22" t="s">
        <v>541</v>
      </c>
      <c r="B92" s="10">
        <v>8.0</v>
      </c>
      <c r="C92" s="24" t="s">
        <v>112</v>
      </c>
      <c r="D92" s="11" t="s">
        <v>56</v>
      </c>
      <c r="E92" s="9" t="s">
        <v>542</v>
      </c>
      <c r="F92" s="11" t="s">
        <v>543</v>
      </c>
      <c r="G92" s="10">
        <v>5.0</v>
      </c>
      <c r="H92" s="30" t="s">
        <v>141</v>
      </c>
      <c r="I92" s="11" t="s">
        <v>156</v>
      </c>
      <c r="J92" s="11"/>
    </row>
    <row r="93">
      <c r="A93" s="22" t="s">
        <v>544</v>
      </c>
      <c r="B93" s="10">
        <v>8.0</v>
      </c>
      <c r="C93" s="24" t="s">
        <v>112</v>
      </c>
      <c r="D93" s="11" t="s">
        <v>97</v>
      </c>
      <c r="E93" s="9" t="s">
        <v>545</v>
      </c>
      <c r="F93" s="11" t="s">
        <v>546</v>
      </c>
      <c r="G93" s="10">
        <v>5.0</v>
      </c>
      <c r="H93" s="30" t="s">
        <v>141</v>
      </c>
      <c r="I93" s="11" t="s">
        <v>156</v>
      </c>
      <c r="J93" s="11"/>
    </row>
    <row r="94">
      <c r="A94" s="22" t="s">
        <v>547</v>
      </c>
      <c r="B94" s="10">
        <v>8.0</v>
      </c>
      <c r="C94" s="24" t="s">
        <v>112</v>
      </c>
      <c r="D94" s="11" t="s">
        <v>97</v>
      </c>
      <c r="E94" s="9" t="s">
        <v>548</v>
      </c>
      <c r="F94" s="11" t="s">
        <v>549</v>
      </c>
      <c r="G94" s="10">
        <v>8.0</v>
      </c>
      <c r="H94" s="30" t="s">
        <v>141</v>
      </c>
      <c r="I94" s="11" t="s">
        <v>156</v>
      </c>
      <c r="J94" s="11"/>
    </row>
    <row r="95">
      <c r="A95" s="22" t="s">
        <v>550</v>
      </c>
      <c r="B95" s="10">
        <v>8.0</v>
      </c>
      <c r="C95" s="24" t="s">
        <v>112</v>
      </c>
      <c r="D95" s="11" t="s">
        <v>71</v>
      </c>
      <c r="E95" s="9" t="s">
        <v>551</v>
      </c>
      <c r="F95" s="11" t="s">
        <v>552</v>
      </c>
      <c r="G95" s="10">
        <v>3.0</v>
      </c>
      <c r="H95" s="37" t="s">
        <v>208</v>
      </c>
      <c r="I95" s="11" t="s">
        <v>156</v>
      </c>
      <c r="J95" s="11"/>
    </row>
    <row r="96" ht="15.75" customHeight="1">
      <c r="A96" s="19" t="s">
        <v>553</v>
      </c>
      <c r="B96" s="20"/>
      <c r="C96" s="20"/>
      <c r="D96" s="20"/>
      <c r="E96" s="20"/>
      <c r="F96" s="21"/>
      <c r="G96" s="26">
        <f>SUM(G5:G95)</f>
        <v>350</v>
      </c>
      <c r="H96" s="42"/>
      <c r="I96" s="42"/>
      <c r="J96" s="42"/>
    </row>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95"/>
  <mergeCells count="19">
    <mergeCell ref="A1:J1"/>
    <mergeCell ref="A2:J2"/>
    <mergeCell ref="A5:J5"/>
    <mergeCell ref="A6:J6"/>
    <mergeCell ref="A17:J17"/>
    <mergeCell ref="A18:J18"/>
    <mergeCell ref="A30:J30"/>
    <mergeCell ref="A76:J76"/>
    <mergeCell ref="A77:J77"/>
    <mergeCell ref="A86:J86"/>
    <mergeCell ref="A87:J87"/>
    <mergeCell ref="A96:F96"/>
    <mergeCell ref="A31:J31"/>
    <mergeCell ref="A41:J41"/>
    <mergeCell ref="A42:J42"/>
    <mergeCell ref="A51:J51"/>
    <mergeCell ref="A52:J52"/>
    <mergeCell ref="A63:J63"/>
    <mergeCell ref="A64:J64"/>
  </mergeCells>
  <dataValidations>
    <dataValidation type="list" allowBlank="1" sqref="I7:I16 I19:I29 I32:I40 I43:I50 I53:I62 I65:I75 I78:I85 I88:I95">
      <formula1>"Chưa bắt đầu,Đang làm,Đang review,Hoàn thành,Chuyển sprint sau"</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6B60"/>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9.0"/>
    <col customWidth="1" min="2" max="2" width="30.0"/>
    <col customWidth="1" min="3" max="3" width="52.0"/>
    <col customWidth="1" min="4" max="5" width="10.0"/>
    <col customWidth="1" min="6" max="7" width="12.0"/>
    <col customWidth="1" min="8" max="26" width="8.71"/>
  </cols>
  <sheetData>
    <row r="1" ht="25.5" customHeight="1">
      <c r="A1" s="2" t="s">
        <v>325</v>
      </c>
    </row>
    <row r="2">
      <c r="A2" s="4"/>
      <c r="B2" s="4"/>
      <c r="C2" s="4"/>
      <c r="D2" s="4"/>
      <c r="E2" s="4"/>
      <c r="F2" s="4"/>
      <c r="G2" s="4"/>
    </row>
    <row r="3" ht="30.0" customHeight="1">
      <c r="A3" s="6" t="s">
        <v>16</v>
      </c>
      <c r="B3" s="6" t="s">
        <v>330</v>
      </c>
      <c r="C3" s="6" t="s">
        <v>331</v>
      </c>
      <c r="D3" s="6" t="s">
        <v>332</v>
      </c>
      <c r="E3" s="6" t="s">
        <v>13</v>
      </c>
      <c r="F3" s="6" t="s">
        <v>333</v>
      </c>
      <c r="G3" s="6" t="s">
        <v>334</v>
      </c>
    </row>
    <row r="4" ht="25.5" customHeight="1">
      <c r="A4" s="39">
        <v>1.0</v>
      </c>
      <c r="B4" s="9" t="s">
        <v>337</v>
      </c>
      <c r="C4" s="11" t="s">
        <v>338</v>
      </c>
      <c r="D4" s="10">
        <v>10.0</v>
      </c>
      <c r="E4" s="10">
        <v>42.0</v>
      </c>
      <c r="F4" s="10">
        <v>42.0</v>
      </c>
      <c r="G4" s="10">
        <v>308.0</v>
      </c>
    </row>
    <row r="5" ht="25.5" customHeight="1">
      <c r="A5" s="39">
        <v>2.0</v>
      </c>
      <c r="B5" s="9" t="s">
        <v>340</v>
      </c>
      <c r="C5" s="11" t="s">
        <v>342</v>
      </c>
      <c r="D5" s="10">
        <v>11.0</v>
      </c>
      <c r="E5" s="10">
        <v>43.0</v>
      </c>
      <c r="F5" s="10">
        <v>85.0</v>
      </c>
      <c r="G5" s="10">
        <v>265.0</v>
      </c>
    </row>
    <row r="6" ht="25.5" customHeight="1">
      <c r="A6" s="39">
        <v>3.0</v>
      </c>
      <c r="B6" s="9" t="s">
        <v>344</v>
      </c>
      <c r="C6" s="11" t="s">
        <v>345</v>
      </c>
      <c r="D6" s="10">
        <v>9.0</v>
      </c>
      <c r="E6" s="10">
        <v>42.0</v>
      </c>
      <c r="F6" s="10">
        <v>127.0</v>
      </c>
      <c r="G6" s="10">
        <v>223.0</v>
      </c>
    </row>
    <row r="7" ht="25.5" customHeight="1">
      <c r="A7" s="39">
        <v>4.0</v>
      </c>
      <c r="B7" s="9" t="s">
        <v>347</v>
      </c>
      <c r="C7" s="11" t="s">
        <v>348</v>
      </c>
      <c r="D7" s="10">
        <v>8.0</v>
      </c>
      <c r="E7" s="10">
        <v>45.0</v>
      </c>
      <c r="F7" s="10">
        <v>172.0</v>
      </c>
      <c r="G7" s="10">
        <v>178.0</v>
      </c>
    </row>
    <row r="8" ht="25.5" customHeight="1">
      <c r="A8" s="39">
        <v>5.0</v>
      </c>
      <c r="B8" s="9" t="s">
        <v>351</v>
      </c>
      <c r="C8" s="11" t="s">
        <v>352</v>
      </c>
      <c r="D8" s="10">
        <v>10.0</v>
      </c>
      <c r="E8" s="10">
        <v>45.0</v>
      </c>
      <c r="F8" s="10">
        <v>217.0</v>
      </c>
      <c r="G8" s="10">
        <v>133.0</v>
      </c>
    </row>
    <row r="9" ht="25.5" customHeight="1">
      <c r="A9" s="39">
        <v>6.0</v>
      </c>
      <c r="B9" s="9" t="s">
        <v>354</v>
      </c>
      <c r="C9" s="11" t="s">
        <v>355</v>
      </c>
      <c r="D9" s="10">
        <v>11.0</v>
      </c>
      <c r="E9" s="10">
        <v>45.0</v>
      </c>
      <c r="F9" s="10">
        <v>262.0</v>
      </c>
      <c r="G9" s="10">
        <v>88.0</v>
      </c>
    </row>
    <row r="10" ht="25.5" customHeight="1">
      <c r="A10" s="39">
        <v>7.0</v>
      </c>
      <c r="B10" s="9" t="s">
        <v>199</v>
      </c>
      <c r="C10" s="11" t="s">
        <v>356</v>
      </c>
      <c r="D10" s="10">
        <v>8.0</v>
      </c>
      <c r="E10" s="10">
        <v>44.0</v>
      </c>
      <c r="F10" s="10">
        <v>306.0</v>
      </c>
      <c r="G10" s="10">
        <v>44.0</v>
      </c>
    </row>
    <row r="11" ht="25.5" customHeight="1">
      <c r="A11" s="39">
        <v>8.0</v>
      </c>
      <c r="B11" s="9" t="s">
        <v>359</v>
      </c>
      <c r="C11" s="11" t="s">
        <v>360</v>
      </c>
      <c r="D11" s="10">
        <v>8.0</v>
      </c>
      <c r="E11" s="10">
        <v>44.0</v>
      </c>
      <c r="F11" s="10">
        <v>350.0</v>
      </c>
      <c r="G11" s="10">
        <v>0.0</v>
      </c>
    </row>
    <row r="12">
      <c r="A12" s="19" t="s">
        <v>122</v>
      </c>
      <c r="B12" s="20"/>
      <c r="C12" s="21"/>
      <c r="D12" s="26">
        <f t="shared" ref="D12:E12" si="1">SUM(D4:D11)</f>
        <v>75</v>
      </c>
      <c r="E12" s="26">
        <f t="shared" si="1"/>
        <v>350</v>
      </c>
      <c r="F12" s="28"/>
      <c r="G12" s="28"/>
    </row>
    <row r="13">
      <c r="A13" s="4"/>
      <c r="B13" s="4"/>
      <c r="C13" s="4"/>
      <c r="D13" s="4"/>
      <c r="E13" s="4"/>
      <c r="F13" s="4"/>
      <c r="G13" s="4"/>
    </row>
    <row r="14" ht="24.0" customHeight="1">
      <c r="A14" s="5" t="s">
        <v>370</v>
      </c>
    </row>
    <row r="15" ht="30.0" customHeight="1">
      <c r="A15" s="6" t="s">
        <v>7</v>
      </c>
      <c r="B15" s="6" t="s">
        <v>371</v>
      </c>
      <c r="C15" s="6"/>
      <c r="D15" s="6"/>
      <c r="E15" s="6" t="s">
        <v>373</v>
      </c>
      <c r="F15" s="6"/>
      <c r="G15" s="6"/>
    </row>
    <row r="16" ht="21.75" customHeight="1">
      <c r="A16" s="10">
        <v>1.0</v>
      </c>
      <c r="B16" s="35" t="s">
        <v>374</v>
      </c>
      <c r="C16" s="20"/>
      <c r="D16" s="21"/>
      <c r="E16" s="36" t="s">
        <v>376</v>
      </c>
      <c r="F16" s="20"/>
      <c r="G16" s="21"/>
    </row>
    <row r="17" ht="21.75" customHeight="1">
      <c r="A17" s="10">
        <v>2.0</v>
      </c>
      <c r="B17" s="35" t="s">
        <v>377</v>
      </c>
      <c r="C17" s="20"/>
      <c r="D17" s="21"/>
      <c r="E17" s="36" t="s">
        <v>379</v>
      </c>
      <c r="F17" s="20"/>
      <c r="G17" s="21"/>
    </row>
    <row r="18" ht="21.75" customHeight="1">
      <c r="A18" s="10">
        <v>3.0</v>
      </c>
      <c r="B18" s="35" t="s">
        <v>382</v>
      </c>
      <c r="C18" s="20"/>
      <c r="D18" s="21"/>
      <c r="E18" s="36" t="s">
        <v>383</v>
      </c>
      <c r="F18" s="20"/>
      <c r="G18" s="21"/>
    </row>
    <row r="19" ht="21.75" customHeight="1">
      <c r="A19" s="10">
        <v>4.0</v>
      </c>
      <c r="B19" s="35" t="s">
        <v>385</v>
      </c>
      <c r="C19" s="20"/>
      <c r="D19" s="21"/>
      <c r="E19" s="36" t="s">
        <v>386</v>
      </c>
      <c r="F19" s="20"/>
      <c r="G19" s="21"/>
    </row>
    <row r="20" ht="21.75" customHeight="1">
      <c r="A20" s="10">
        <v>5.0</v>
      </c>
      <c r="B20" s="35" t="s">
        <v>389</v>
      </c>
      <c r="C20" s="20"/>
      <c r="D20" s="21"/>
      <c r="E20" s="36" t="s">
        <v>391</v>
      </c>
      <c r="F20" s="20"/>
      <c r="G20" s="21"/>
    </row>
    <row r="21" ht="21.75" customHeight="1">
      <c r="A21" s="10">
        <v>6.0</v>
      </c>
      <c r="B21" s="35" t="s">
        <v>394</v>
      </c>
      <c r="C21" s="20"/>
      <c r="D21" s="21"/>
      <c r="E21" s="36" t="s">
        <v>395</v>
      </c>
      <c r="F21" s="20"/>
      <c r="G21" s="21"/>
    </row>
    <row r="22" ht="21.75" customHeight="1">
      <c r="A22" s="10">
        <v>7.0</v>
      </c>
      <c r="B22" s="35"/>
      <c r="C22" s="20"/>
      <c r="D22" s="21"/>
      <c r="E22" s="36" t="s">
        <v>399</v>
      </c>
      <c r="F22" s="20"/>
      <c r="G22" s="21"/>
    </row>
    <row r="23" ht="21.75" customHeight="1">
      <c r="A23" s="10">
        <v>8.0</v>
      </c>
      <c r="B23" s="35"/>
      <c r="C23" s="20"/>
      <c r="D23" s="21"/>
      <c r="E23" s="36" t="s">
        <v>404</v>
      </c>
      <c r="F23" s="20"/>
      <c r="G23" s="21"/>
    </row>
    <row r="24" ht="21.75" customHeight="1">
      <c r="A24" s="10">
        <v>9.0</v>
      </c>
      <c r="B24" s="35"/>
      <c r="C24" s="20"/>
      <c r="D24" s="21"/>
      <c r="E24" s="36" t="s">
        <v>408</v>
      </c>
      <c r="F24" s="20"/>
      <c r="G24" s="21"/>
    </row>
    <row r="25" ht="15.75" customHeight="1">
      <c r="A25" s="4"/>
      <c r="B25" s="4"/>
      <c r="C25" s="4"/>
      <c r="D25" s="4"/>
      <c r="E25" s="4"/>
      <c r="F25" s="4"/>
      <c r="G25" s="4"/>
    </row>
    <row r="26" ht="24.0" customHeight="1">
      <c r="A26" s="5" t="s">
        <v>411</v>
      </c>
    </row>
    <row r="27" ht="30.0" customHeight="1">
      <c r="A27" s="6" t="s">
        <v>7</v>
      </c>
      <c r="B27" s="6" t="s">
        <v>413</v>
      </c>
      <c r="C27" s="6" t="s">
        <v>414</v>
      </c>
      <c r="D27" s="6"/>
      <c r="E27" s="6" t="s">
        <v>416</v>
      </c>
      <c r="F27" s="6" t="s">
        <v>418</v>
      </c>
      <c r="G27" s="6"/>
    </row>
    <row r="28" ht="33.75" customHeight="1">
      <c r="A28" s="10">
        <v>1.0</v>
      </c>
      <c r="B28" s="11" t="s">
        <v>419</v>
      </c>
      <c r="C28" s="17" t="s">
        <v>420</v>
      </c>
      <c r="D28" s="21"/>
      <c r="E28" s="30" t="s">
        <v>422</v>
      </c>
      <c r="F28" s="40" t="s">
        <v>422</v>
      </c>
      <c r="G28" s="21"/>
    </row>
    <row r="29" ht="33.75" customHeight="1">
      <c r="A29" s="10">
        <v>2.0</v>
      </c>
      <c r="B29" s="11" t="s">
        <v>423</v>
      </c>
      <c r="C29" s="17" t="s">
        <v>425</v>
      </c>
      <c r="D29" s="21"/>
      <c r="E29" s="30" t="s">
        <v>422</v>
      </c>
      <c r="F29" s="40" t="s">
        <v>422</v>
      </c>
      <c r="G29" s="21"/>
    </row>
    <row r="30" ht="33.75" customHeight="1">
      <c r="A30" s="10">
        <v>3.0</v>
      </c>
      <c r="B30" s="11" t="s">
        <v>426</v>
      </c>
      <c r="C30" s="17" t="s">
        <v>427</v>
      </c>
      <c r="D30" s="21"/>
      <c r="E30" s="37" t="s">
        <v>429</v>
      </c>
      <c r="F30" s="40" t="s">
        <v>422</v>
      </c>
      <c r="G30" s="21"/>
    </row>
    <row r="31" ht="33.75" customHeight="1">
      <c r="A31" s="10">
        <v>4.0</v>
      </c>
      <c r="B31" s="11" t="s">
        <v>431</v>
      </c>
      <c r="C31" s="17" t="s">
        <v>432</v>
      </c>
      <c r="D31" s="21"/>
      <c r="E31" s="30" t="s">
        <v>422</v>
      </c>
      <c r="F31" s="41" t="s">
        <v>429</v>
      </c>
      <c r="G31" s="21"/>
    </row>
    <row r="32" ht="33.75" customHeight="1">
      <c r="A32" s="10">
        <v>5.0</v>
      </c>
      <c r="B32" s="11" t="s">
        <v>434</v>
      </c>
      <c r="C32" s="17" t="s">
        <v>436</v>
      </c>
      <c r="D32" s="21"/>
      <c r="E32" s="37" t="s">
        <v>429</v>
      </c>
      <c r="F32" s="40" t="s">
        <v>422</v>
      </c>
      <c r="G32" s="21"/>
    </row>
    <row r="33" ht="33.75" customHeight="1">
      <c r="A33" s="10">
        <v>6.0</v>
      </c>
      <c r="B33" s="11" t="s">
        <v>439</v>
      </c>
      <c r="C33" s="17" t="s">
        <v>440</v>
      </c>
      <c r="D33" s="21"/>
      <c r="E33" s="38" t="s">
        <v>442</v>
      </c>
      <c r="F33" s="40" t="s">
        <v>422</v>
      </c>
      <c r="G33" s="2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G1"/>
    <mergeCell ref="A12:C12"/>
    <mergeCell ref="A14:G14"/>
    <mergeCell ref="B16:D16"/>
    <mergeCell ref="E16:G16"/>
    <mergeCell ref="B17:D17"/>
    <mergeCell ref="E17:G17"/>
    <mergeCell ref="E22:G22"/>
    <mergeCell ref="E23:G23"/>
    <mergeCell ref="E24:G24"/>
    <mergeCell ref="A26:G26"/>
    <mergeCell ref="F28:G28"/>
    <mergeCell ref="F29:G29"/>
    <mergeCell ref="F30:G30"/>
    <mergeCell ref="F31:G31"/>
    <mergeCell ref="B18:D18"/>
    <mergeCell ref="E18:G18"/>
    <mergeCell ref="B19:D19"/>
    <mergeCell ref="E19:G19"/>
    <mergeCell ref="B20:D20"/>
    <mergeCell ref="E20:G20"/>
    <mergeCell ref="E21:G21"/>
    <mergeCell ref="C31:D31"/>
    <mergeCell ref="C32:D32"/>
    <mergeCell ref="F32:G32"/>
    <mergeCell ref="C33:D33"/>
    <mergeCell ref="F33:G33"/>
    <mergeCell ref="B21:D21"/>
    <mergeCell ref="B22:D22"/>
    <mergeCell ref="B23:D23"/>
    <mergeCell ref="B24:D24"/>
    <mergeCell ref="C28:D28"/>
    <mergeCell ref="C29:D29"/>
    <mergeCell ref="C30:D30"/>
  </mergeCells>
  <printOptions/>
  <pageMargins bottom="1.0" footer="0.0" header="0.0" left="0.75" right="0.75" top="1.0"/>
  <pageSetup orientation="landscape"/>
  <drawing r:id="rId1"/>
</worksheet>
</file>